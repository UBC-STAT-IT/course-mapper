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1"/>
  <workbookPr/>
  <mc:AlternateContent xmlns:mc="http://schemas.openxmlformats.org/markup-compatibility/2006">
    <mc:Choice Requires="x15">
      <x15ac:absPath xmlns:x15ac="http://schemas.microsoft.com/office/spreadsheetml/2010/11/ac" url="/Users/worklearn/Documents/course-mapper/data/"/>
    </mc:Choice>
  </mc:AlternateContent>
  <xr:revisionPtr revIDLastSave="0" documentId="13_ncr:1_{22A2B2AB-F152-8B4C-A6CA-40A48B865996}" xr6:coauthVersionLast="47" xr6:coauthVersionMax="47" xr10:uidLastSave="{00000000-0000-0000-0000-000000000000}"/>
  <bookViews>
    <workbookView xWindow="-38540" yWindow="980" windowWidth="28880" windowHeight="15780" activeTab="6" xr2:uid="{00000000-000D-0000-FFFF-FFFF00000000}"/>
  </bookViews>
  <sheets>
    <sheet name="courses" sheetId="1" r:id="rId1"/>
    <sheet name="requisites" sheetId="2" r:id="rId2"/>
    <sheet name="course_requisites" sheetId="3" r:id="rId3"/>
    <sheet name="exclusions" sheetId="4" r:id="rId4"/>
    <sheet name="course_exclusions" sheetId="5" r:id="rId5"/>
    <sheet name="programs" sheetId="6" r:id="rId6"/>
    <sheet name="courses_program1" sheetId="7" r:id="rId7"/>
    <sheet name="requisites_program1" sheetId="8" r:id="rId8"/>
    <sheet name="courses_program2" sheetId="9" r:id="rId9"/>
    <sheet name="requisites_program2" sheetId="10" r:id="rId10"/>
    <sheet name="equivalencies" sheetId="11" r:id="rId11"/>
    <sheet name="tracks" sheetId="12" r:id="rId12"/>
    <sheet name="reflections" sheetId="13"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D30" i="7" l="1"/>
  <c r="D54" i="10" s="1"/>
  <c r="D29" i="7"/>
  <c r="D26" i="7"/>
  <c r="D25" i="7"/>
  <c r="D50" i="8" s="1"/>
  <c r="E24" i="7"/>
  <c r="G34" i="10" s="1"/>
  <c r="D21" i="7"/>
  <c r="E20" i="7"/>
  <c r="E44" i="10" s="1"/>
  <c r="D17" i="7"/>
  <c r="E16" i="7"/>
  <c r="E31" i="10" s="1"/>
  <c r="D13" i="7"/>
  <c r="D23" i="8" s="1"/>
  <c r="E12" i="7"/>
  <c r="D9" i="7"/>
  <c r="E8" i="7"/>
  <c r="D5" i="7"/>
  <c r="F41" i="10" s="1"/>
  <c r="E4" i="7"/>
  <c r="G12" i="10" s="1"/>
  <c r="D3" i="7"/>
  <c r="D2" i="7"/>
  <c r="M3" i="7"/>
  <c r="M5" i="7"/>
  <c r="M6" i="7"/>
  <c r="M7" i="7"/>
  <c r="M8" i="7"/>
  <c r="M9" i="7"/>
  <c r="M10" i="7"/>
  <c r="M11" i="7"/>
  <c r="M13" i="7"/>
  <c r="M14" i="7"/>
  <c r="M15" i="7"/>
  <c r="M16" i="7"/>
  <c r="M17" i="7"/>
  <c r="M18" i="7"/>
  <c r="M19" i="7"/>
  <c r="M20" i="7"/>
  <c r="M21" i="7"/>
  <c r="M23" i="7"/>
  <c r="M24" i="7"/>
  <c r="M25" i="7"/>
  <c r="M27" i="7"/>
  <c r="M28" i="7"/>
  <c r="M29" i="7"/>
  <c r="M30" i="7"/>
  <c r="M32" i="7"/>
  <c r="M2" i="7"/>
  <c r="L3" i="7"/>
  <c r="L4" i="7"/>
  <c r="L5" i="7"/>
  <c r="L6" i="7"/>
  <c r="L7" i="7"/>
  <c r="L8" i="7"/>
  <c r="L9" i="7"/>
  <c r="L10" i="7"/>
  <c r="L11" i="7"/>
  <c r="L12" i="7"/>
  <c r="L13" i="7"/>
  <c r="L14" i="7"/>
  <c r="L15" i="7"/>
  <c r="L16" i="7"/>
  <c r="L17" i="7"/>
  <c r="L18" i="7"/>
  <c r="L19" i="7"/>
  <c r="L20" i="7"/>
  <c r="L21" i="7"/>
  <c r="L22" i="7"/>
  <c r="L23" i="7"/>
  <c r="L24" i="7"/>
  <c r="L25" i="7"/>
  <c r="L26" i="7"/>
  <c r="L27" i="7"/>
  <c r="L28" i="7"/>
  <c r="L29" i="7"/>
  <c r="L30" i="7"/>
  <c r="L31" i="7"/>
  <c r="L32" i="7"/>
  <c r="L2" i="7"/>
  <c r="E2" i="7"/>
  <c r="G5" i="10" s="1"/>
  <c r="E3" i="7"/>
  <c r="G8" i="8" s="1"/>
  <c r="D4" i="7"/>
  <c r="F12" i="10" s="1"/>
  <c r="D6" i="7"/>
  <c r="E6" i="7"/>
  <c r="D7" i="7"/>
  <c r="D8" i="8" s="1"/>
  <c r="E7" i="7"/>
  <c r="G36" i="10" s="1"/>
  <c r="D8" i="7"/>
  <c r="F21" i="8" s="1"/>
  <c r="D10" i="7"/>
  <c r="E10" i="7"/>
  <c r="G44" i="8" s="1"/>
  <c r="D11" i="7"/>
  <c r="D22" i="10" s="1"/>
  <c r="E11" i="7"/>
  <c r="E22" i="10" s="1"/>
  <c r="D12" i="7"/>
  <c r="D14" i="7"/>
  <c r="E14" i="7"/>
  <c r="E25" i="10" s="1"/>
  <c r="D15" i="7"/>
  <c r="E15" i="7"/>
  <c r="D16" i="7"/>
  <c r="D31" i="8" s="1"/>
  <c r="D18" i="7"/>
  <c r="E18" i="7"/>
  <c r="E35" i="8" s="1"/>
  <c r="D19" i="7"/>
  <c r="D41" i="10" s="1"/>
  <c r="E19" i="7"/>
  <c r="E42" i="8" s="1"/>
  <c r="D20" i="7"/>
  <c r="D44" i="10" s="1"/>
  <c r="D22" i="7"/>
  <c r="E22" i="7"/>
  <c r="D23" i="7"/>
  <c r="D46" i="10" s="1"/>
  <c r="E23" i="7"/>
  <c r="E46" i="10" s="1"/>
  <c r="D24" i="7"/>
  <c r="D47" i="8" s="1"/>
  <c r="E26" i="7"/>
  <c r="G9" i="10" s="1"/>
  <c r="D27" i="7"/>
  <c r="D51" i="10" s="1"/>
  <c r="E27" i="7"/>
  <c r="G52" i="10" s="1"/>
  <c r="D28" i="7"/>
  <c r="D52" i="10" s="1"/>
  <c r="E28" i="7"/>
  <c r="E52" i="10" s="1"/>
  <c r="E30" i="7"/>
  <c r="E54" i="8" s="1"/>
  <c r="D31" i="7"/>
  <c r="F3" i="10" s="1"/>
  <c r="E31" i="7"/>
  <c r="G55" i="10" s="1"/>
  <c r="D32" i="7"/>
  <c r="D55" i="8" s="1"/>
  <c r="E32" i="7"/>
  <c r="G16" i="8" s="1"/>
  <c r="I55" i="10"/>
  <c r="I54" i="10"/>
  <c r="I53" i="10"/>
  <c r="I52" i="10"/>
  <c r="I51" i="10"/>
  <c r="I50" i="10"/>
  <c r="I49" i="10"/>
  <c r="I48" i="10"/>
  <c r="I47" i="10"/>
  <c r="I46" i="10"/>
  <c r="I45" i="10"/>
  <c r="I44" i="10"/>
  <c r="I43" i="10"/>
  <c r="I42" i="10"/>
  <c r="I41" i="10"/>
  <c r="I40" i="10"/>
  <c r="I39" i="10"/>
  <c r="I38" i="10"/>
  <c r="I37" i="10"/>
  <c r="I36" i="10"/>
  <c r="I35" i="10"/>
  <c r="I34" i="10"/>
  <c r="I33" i="10"/>
  <c r="I32" i="10"/>
  <c r="I31" i="10"/>
  <c r="I30" i="10"/>
  <c r="I29" i="10"/>
  <c r="I28" i="10"/>
  <c r="I27" i="10"/>
  <c r="I26" i="10"/>
  <c r="I25" i="10"/>
  <c r="I24" i="10"/>
  <c r="I23" i="10"/>
  <c r="I22" i="10"/>
  <c r="I21" i="10"/>
  <c r="I20" i="10"/>
  <c r="I19" i="10"/>
  <c r="I18" i="10"/>
  <c r="I17" i="10"/>
  <c r="I16" i="10"/>
  <c r="I15" i="10"/>
  <c r="I14" i="10"/>
  <c r="I13" i="10"/>
  <c r="I12" i="10"/>
  <c r="I11" i="10"/>
  <c r="I10" i="10"/>
  <c r="I9" i="10"/>
  <c r="I8" i="10"/>
  <c r="I7" i="10"/>
  <c r="I6" i="10"/>
  <c r="I5" i="10"/>
  <c r="I4" i="10"/>
  <c r="I3" i="10"/>
  <c r="I2" i="10"/>
  <c r="E32" i="9"/>
  <c r="D32" i="9"/>
  <c r="E31" i="9"/>
  <c r="D31" i="9"/>
  <c r="E30" i="9"/>
  <c r="D30" i="9"/>
  <c r="E29" i="9"/>
  <c r="D29" i="9"/>
  <c r="E28" i="9"/>
  <c r="D28" i="9"/>
  <c r="E27" i="9"/>
  <c r="D27" i="9"/>
  <c r="E26" i="9"/>
  <c r="D26" i="9"/>
  <c r="E25" i="9"/>
  <c r="D25" i="9"/>
  <c r="E24" i="9"/>
  <c r="D24" i="9"/>
  <c r="E23" i="9"/>
  <c r="D23" i="9"/>
  <c r="E22" i="9"/>
  <c r="D22" i="9"/>
  <c r="E21" i="9"/>
  <c r="D21" i="9"/>
  <c r="E20" i="9"/>
  <c r="D20" i="9"/>
  <c r="E19" i="9"/>
  <c r="D19" i="9"/>
  <c r="E18" i="9"/>
  <c r="D18" i="9"/>
  <c r="E17" i="9"/>
  <c r="D17" i="9"/>
  <c r="E16" i="9"/>
  <c r="D16" i="9"/>
  <c r="E15" i="9"/>
  <c r="D15" i="9"/>
  <c r="E14" i="9"/>
  <c r="D14" i="9"/>
  <c r="E13" i="9"/>
  <c r="D13" i="9"/>
  <c r="E12" i="9"/>
  <c r="D12" i="9"/>
  <c r="E11" i="9"/>
  <c r="D11" i="9"/>
  <c r="E10" i="9"/>
  <c r="D10" i="9"/>
  <c r="E9" i="9"/>
  <c r="D9" i="9"/>
  <c r="E8" i="9"/>
  <c r="D8" i="9"/>
  <c r="E7" i="9"/>
  <c r="D7" i="9"/>
  <c r="E6" i="9"/>
  <c r="D6" i="9"/>
  <c r="E5" i="9"/>
  <c r="D5" i="9"/>
  <c r="E4" i="9"/>
  <c r="D4" i="9"/>
  <c r="E3" i="9"/>
  <c r="D3" i="9"/>
  <c r="E2" i="9"/>
  <c r="D2" i="9"/>
  <c r="I55" i="8"/>
  <c r="I54" i="8"/>
  <c r="I53" i="8"/>
  <c r="I52" i="8"/>
  <c r="I51" i="8"/>
  <c r="I50" i="8"/>
  <c r="I49" i="8"/>
  <c r="I48" i="8"/>
  <c r="I47" i="8"/>
  <c r="I46" i="8"/>
  <c r="I45" i="8"/>
  <c r="I44" i="8"/>
  <c r="I43" i="8"/>
  <c r="I42" i="8"/>
  <c r="I41" i="8"/>
  <c r="I40" i="8"/>
  <c r="I39" i="8"/>
  <c r="I38" i="8"/>
  <c r="I37" i="8"/>
  <c r="I36" i="8"/>
  <c r="I35" i="8"/>
  <c r="I34" i="8"/>
  <c r="I33" i="8"/>
  <c r="I32" i="8"/>
  <c r="I31" i="8"/>
  <c r="I30" i="8"/>
  <c r="I29" i="8"/>
  <c r="I28" i="8"/>
  <c r="I27" i="8"/>
  <c r="I26" i="8"/>
  <c r="I25" i="8"/>
  <c r="I24" i="8"/>
  <c r="I23" i="8"/>
  <c r="I22" i="8"/>
  <c r="I21" i="8"/>
  <c r="I20" i="8"/>
  <c r="I19" i="8"/>
  <c r="I18" i="8"/>
  <c r="I17" i="8"/>
  <c r="I16" i="8"/>
  <c r="I15" i="8"/>
  <c r="I14" i="8"/>
  <c r="I13" i="8"/>
  <c r="I12" i="8"/>
  <c r="I11" i="8"/>
  <c r="I10" i="8"/>
  <c r="I9" i="8"/>
  <c r="I8" i="8"/>
  <c r="I7" i="8"/>
  <c r="I6" i="8"/>
  <c r="I5" i="8"/>
  <c r="I4" i="8"/>
  <c r="I3" i="8"/>
  <c r="I2" i="8"/>
  <c r="E29" i="7" l="1"/>
  <c r="E25" i="7"/>
  <c r="E50" i="8" s="1"/>
  <c r="E21" i="7"/>
  <c r="E45" i="8" s="1"/>
  <c r="E17" i="7"/>
  <c r="E32" i="8" s="1"/>
  <c r="E13" i="7"/>
  <c r="E9" i="7"/>
  <c r="E14" i="8" s="1"/>
  <c r="E5" i="7"/>
  <c r="G7" i="10" s="1"/>
  <c r="E24" i="8"/>
  <c r="E55" i="8"/>
  <c r="E30" i="10"/>
  <c r="F55" i="10"/>
  <c r="D9" i="8"/>
  <c r="D51" i="8"/>
  <c r="D27" i="8"/>
  <c r="D28" i="8"/>
  <c r="D27" i="10"/>
  <c r="D28" i="10"/>
  <c r="F15" i="10"/>
  <c r="D3" i="10"/>
  <c r="D3" i="8"/>
  <c r="F15" i="8"/>
  <c r="G21" i="10"/>
  <c r="G21" i="8"/>
  <c r="G28" i="8"/>
  <c r="E38" i="10"/>
  <c r="F36" i="10"/>
  <c r="F5" i="8"/>
  <c r="E31" i="8"/>
  <c r="D8" i="10"/>
  <c r="E26" i="8"/>
  <c r="D34" i="10"/>
  <c r="D43" i="10"/>
  <c r="D40" i="8"/>
  <c r="D41" i="8"/>
  <c r="F55" i="8"/>
  <c r="G5" i="8"/>
  <c r="E54" i="10"/>
  <c r="D35" i="8"/>
  <c r="D35" i="10"/>
  <c r="D45" i="8"/>
  <c r="D45" i="10"/>
  <c r="F49" i="8"/>
  <c r="F49" i="10"/>
  <c r="F17" i="8"/>
  <c r="E23" i="8"/>
  <c r="E23" i="10"/>
  <c r="G20" i="10"/>
  <c r="E7" i="8"/>
  <c r="E6" i="8"/>
  <c r="E7" i="10"/>
  <c r="G20" i="8"/>
  <c r="G37" i="10"/>
  <c r="G49" i="8"/>
  <c r="G17" i="10"/>
  <c r="G17" i="8"/>
  <c r="G30" i="8"/>
  <c r="G37" i="8"/>
  <c r="E53" i="8"/>
  <c r="D13" i="8"/>
  <c r="F23" i="8"/>
  <c r="F43" i="8"/>
  <c r="D13" i="10"/>
  <c r="F33" i="10"/>
  <c r="F23" i="10"/>
  <c r="D11" i="8"/>
  <c r="F33" i="8"/>
  <c r="F46" i="8"/>
  <c r="D19" i="8"/>
  <c r="F22" i="8"/>
  <c r="D19" i="10"/>
  <c r="D24" i="8"/>
  <c r="D25" i="10"/>
  <c r="F9" i="10"/>
  <c r="F9" i="8"/>
  <c r="G40" i="8"/>
  <c r="G53" i="10"/>
  <c r="E38" i="8"/>
  <c r="D7" i="8"/>
  <c r="G51" i="8"/>
  <c r="D9" i="10"/>
  <c r="E55" i="10"/>
  <c r="G9" i="8"/>
  <c r="D43" i="8"/>
  <c r="G53" i="8"/>
  <c r="G44" i="10"/>
  <c r="G22" i="8"/>
  <c r="E19" i="10"/>
  <c r="E19" i="8"/>
  <c r="G28" i="10"/>
  <c r="D12" i="8"/>
  <c r="E47" i="8"/>
  <c r="E34" i="8"/>
  <c r="D12" i="10"/>
  <c r="F30" i="10"/>
  <c r="D16" i="8"/>
  <c r="E30" i="8"/>
  <c r="D53" i="8"/>
  <c r="D16" i="10"/>
  <c r="E47" i="10"/>
  <c r="F30" i="8"/>
  <c r="F3" i="8"/>
  <c r="D4" i="8"/>
  <c r="F7" i="8"/>
  <c r="F19" i="8"/>
  <c r="F25" i="8"/>
  <c r="F27" i="8"/>
  <c r="F41" i="8"/>
  <c r="F7" i="10"/>
  <c r="D4" i="10"/>
  <c r="G12" i="8"/>
  <c r="E35" i="10"/>
  <c r="F38" i="10"/>
  <c r="D40" i="10"/>
  <c r="E43" i="10"/>
  <c r="F46" i="10"/>
  <c r="D48" i="10"/>
  <c r="G49" i="10"/>
  <c r="E51" i="10"/>
  <c r="F54" i="10"/>
  <c r="E22" i="8"/>
  <c r="E46" i="8"/>
  <c r="G52" i="8"/>
  <c r="F6" i="8"/>
  <c r="E51" i="8"/>
  <c r="F2" i="8"/>
  <c r="D36" i="8"/>
  <c r="E39" i="8"/>
  <c r="D44" i="8"/>
  <c r="D52" i="8"/>
  <c r="E3" i="10"/>
  <c r="F6" i="10"/>
  <c r="F22" i="10"/>
  <c r="G18" i="8"/>
  <c r="D25" i="8"/>
  <c r="G26" i="8"/>
  <c r="E36" i="8"/>
  <c r="G42" i="8"/>
  <c r="F47" i="8"/>
  <c r="G50" i="8"/>
  <c r="E52" i="8"/>
  <c r="G6" i="10"/>
  <c r="E8" i="10"/>
  <c r="F19" i="10"/>
  <c r="D21" i="10"/>
  <c r="G22" i="10"/>
  <c r="E24" i="10"/>
  <c r="F27" i="10"/>
  <c r="D29" i="10"/>
  <c r="G30" i="10"/>
  <c r="F35" i="10"/>
  <c r="D37" i="10"/>
  <c r="G38" i="10"/>
  <c r="E40" i="10"/>
  <c r="F43" i="10"/>
  <c r="G46" i="10"/>
  <c r="E48" i="10"/>
  <c r="F51" i="10"/>
  <c r="D53" i="10"/>
  <c r="G54" i="10"/>
  <c r="E3" i="8"/>
  <c r="F10" i="8"/>
  <c r="D20" i="8"/>
  <c r="F34" i="8"/>
  <c r="F50" i="8"/>
  <c r="F14" i="10"/>
  <c r="D24" i="10"/>
  <c r="G2" i="8"/>
  <c r="G10" i="8"/>
  <c r="D17" i="8"/>
  <c r="E20" i="8"/>
  <c r="F31" i="8"/>
  <c r="G34" i="8"/>
  <c r="F39" i="8"/>
  <c r="E44" i="8"/>
  <c r="D49" i="8"/>
  <c r="G14" i="10"/>
  <c r="F4" i="8"/>
  <c r="E9" i="8"/>
  <c r="F12" i="8"/>
  <c r="D14" i="8"/>
  <c r="G15" i="8"/>
  <c r="E17" i="8"/>
  <c r="D22" i="8"/>
  <c r="E25" i="8"/>
  <c r="F28" i="8"/>
  <c r="D30" i="8"/>
  <c r="G31" i="8"/>
  <c r="F36" i="8"/>
  <c r="D38" i="8"/>
  <c r="G39" i="8"/>
  <c r="E41" i="8"/>
  <c r="F44" i="8"/>
  <c r="D46" i="8"/>
  <c r="G47" i="8"/>
  <c r="E49" i="8"/>
  <c r="F52" i="8"/>
  <c r="D54" i="8"/>
  <c r="G55" i="8"/>
  <c r="D2" i="10"/>
  <c r="G3" i="10"/>
  <c r="E5" i="10"/>
  <c r="F8" i="10"/>
  <c r="D10" i="10"/>
  <c r="G11" i="10"/>
  <c r="F16" i="10"/>
  <c r="D18" i="10"/>
  <c r="E21" i="10"/>
  <c r="D26" i="10"/>
  <c r="E29" i="10"/>
  <c r="F32" i="10"/>
  <c r="G35" i="10"/>
  <c r="E37" i="10"/>
  <c r="F40" i="10"/>
  <c r="D42" i="10"/>
  <c r="E45" i="10"/>
  <c r="F48" i="10"/>
  <c r="D50" i="10"/>
  <c r="G51" i="10"/>
  <c r="E53" i="10"/>
  <c r="E2" i="10"/>
  <c r="F5" i="10"/>
  <c r="D7" i="10"/>
  <c r="G8" i="10"/>
  <c r="E10" i="10"/>
  <c r="F13" i="10"/>
  <c r="D15" i="10"/>
  <c r="G16" i="10"/>
  <c r="E18" i="10"/>
  <c r="F21" i="10"/>
  <c r="D23" i="10"/>
  <c r="G24" i="10"/>
  <c r="F29" i="10"/>
  <c r="D31" i="10"/>
  <c r="G32" i="10"/>
  <c r="E34" i="10"/>
  <c r="F37" i="10"/>
  <c r="D39" i="10"/>
  <c r="G40" i="10"/>
  <c r="E42" i="10"/>
  <c r="F45" i="10"/>
  <c r="D47" i="10"/>
  <c r="E50" i="10"/>
  <c r="F53" i="10"/>
  <c r="D55" i="10"/>
  <c r="F14" i="8"/>
  <c r="E43" i="8"/>
  <c r="F54" i="8"/>
  <c r="F10" i="10"/>
  <c r="F26" i="10"/>
  <c r="F34" i="10"/>
  <c r="F50" i="10"/>
  <c r="E8" i="8"/>
  <c r="G14" i="8"/>
  <c r="D21" i="8"/>
  <c r="D37" i="8"/>
  <c r="E40" i="8"/>
  <c r="E48" i="8"/>
  <c r="G2" i="10"/>
  <c r="D17" i="10"/>
  <c r="E20" i="10"/>
  <c r="G26" i="10"/>
  <c r="E36" i="10"/>
  <c r="F39" i="10"/>
  <c r="G42" i="10"/>
  <c r="F47" i="10"/>
  <c r="G50" i="10"/>
  <c r="G3" i="8"/>
  <c r="E5" i="8"/>
  <c r="F8" i="8"/>
  <c r="D10" i="8"/>
  <c r="G11" i="8"/>
  <c r="F16" i="8"/>
  <c r="D18" i="8"/>
  <c r="E21" i="8"/>
  <c r="D26" i="8"/>
  <c r="E29" i="8"/>
  <c r="F32" i="8"/>
  <c r="G35" i="8"/>
  <c r="E37" i="8"/>
  <c r="D42" i="8"/>
  <c r="F48" i="8"/>
  <c r="F4" i="10"/>
  <c r="E9" i="10"/>
  <c r="D14" i="10"/>
  <c r="G15" i="10"/>
  <c r="E17" i="10"/>
  <c r="F28" i="10"/>
  <c r="D30" i="10"/>
  <c r="G31" i="10"/>
  <c r="E33" i="10"/>
  <c r="D38" i="10"/>
  <c r="G39" i="10"/>
  <c r="E41" i="10"/>
  <c r="F44" i="10"/>
  <c r="G47" i="10"/>
  <c r="E49" i="10"/>
  <c r="F52" i="10"/>
  <c r="G4" i="8"/>
  <c r="G36" i="8"/>
  <c r="F38" i="8"/>
  <c r="D48" i="8"/>
  <c r="F2" i="10"/>
  <c r="D20" i="10"/>
  <c r="D36" i="10"/>
  <c r="E39" i="10"/>
  <c r="G6" i="8"/>
  <c r="D29" i="8"/>
  <c r="F35" i="8"/>
  <c r="G38" i="8"/>
  <c r="G46" i="8"/>
  <c r="F51" i="8"/>
  <c r="G54" i="8"/>
  <c r="G10" i="10"/>
  <c r="G18" i="10"/>
  <c r="F31" i="10"/>
  <c r="D49" i="10"/>
  <c r="E2" i="8"/>
  <c r="E10" i="8"/>
  <c r="F13" i="8"/>
  <c r="D15" i="8"/>
  <c r="E18" i="8"/>
  <c r="G24" i="8"/>
  <c r="F29" i="8"/>
  <c r="G32" i="8"/>
  <c r="F37" i="8"/>
  <c r="D39" i="8"/>
  <c r="F45" i="8"/>
  <c r="F53" i="8"/>
  <c r="G4" i="10"/>
  <c r="E6" i="10"/>
  <c r="D11" i="10"/>
  <c r="F17" i="10"/>
  <c r="F25" i="10"/>
  <c r="E16" i="8" l="1"/>
  <c r="E12" i="8"/>
  <c r="G45" i="8"/>
  <c r="G48" i="8"/>
  <c r="G43" i="10"/>
  <c r="G23" i="8"/>
  <c r="G29" i="10"/>
  <c r="E15" i="8"/>
  <c r="G33" i="10"/>
  <c r="E13" i="8"/>
  <c r="E33" i="8"/>
  <c r="E32" i="10"/>
  <c r="G43" i="8"/>
  <c r="E13" i="10"/>
  <c r="E15" i="10"/>
  <c r="G23" i="10"/>
  <c r="G48" i="10"/>
  <c r="G29" i="8"/>
  <c r="E12" i="10"/>
  <c r="E11" i="8"/>
  <c r="E14" i="10"/>
  <c r="G33" i="8"/>
  <c r="E16" i="10"/>
  <c r="E11" i="10"/>
  <c r="G45" i="10"/>
  <c r="F20" i="10"/>
  <c r="F20" i="8"/>
  <c r="F18" i="10"/>
  <c r="F40" i="8"/>
  <c r="D2" i="8"/>
  <c r="F24" i="10"/>
  <c r="F24" i="8"/>
  <c r="F11" i="8"/>
  <c r="F11" i="10"/>
  <c r="D34" i="8"/>
  <c r="F26" i="8"/>
  <c r="D32" i="10"/>
  <c r="G7" i="8"/>
  <c r="F18" i="8"/>
  <c r="G19" i="10"/>
  <c r="G27" i="8"/>
  <c r="G41" i="8"/>
  <c r="G13" i="10"/>
  <c r="G19" i="8"/>
  <c r="E4" i="8"/>
  <c r="D33" i="10"/>
  <c r="E27" i="10"/>
  <c r="D33" i="8"/>
  <c r="G41" i="10"/>
  <c r="D32" i="8"/>
  <c r="E28" i="10"/>
  <c r="E28" i="8"/>
  <c r="E27" i="8"/>
  <c r="E26" i="10"/>
  <c r="G25" i="8"/>
  <c r="G25" i="10"/>
  <c r="G27" i="10"/>
  <c r="G13" i="8"/>
  <c r="F42" i="10"/>
  <c r="D6" i="8"/>
  <c r="D5" i="10"/>
  <c r="D6" i="10"/>
  <c r="D5" i="8"/>
  <c r="F42" i="8"/>
  <c r="E4" i="10"/>
</calcChain>
</file>

<file path=xl/sharedStrings.xml><?xml version="1.0" encoding="utf-8"?>
<sst xmlns="http://schemas.openxmlformats.org/spreadsheetml/2006/main" count="912" uniqueCount="332">
  <si>
    <t>course_number</t>
  </si>
  <si>
    <t>credits</t>
  </si>
  <si>
    <t>title</t>
  </si>
  <si>
    <t>description</t>
  </si>
  <si>
    <t>vector</t>
  </si>
  <si>
    <t>notes</t>
  </si>
  <si>
    <t>S200</t>
  </si>
  <si>
    <t>3</t>
  </si>
  <si>
    <t>Elementary Statistics for Applications</t>
  </si>
  <si>
    <t>Classical, nonparametric, and robust inferences about means, variances, and analysis of variance, using computers. Emphasis on problem formulation, assumptions, and interpretation.</t>
  </si>
  <si>
    <t>[3-1-0]</t>
  </si>
  <si>
    <t>Credit excluded with STAT_V 203, BIOL_V 300, BUSI_V 291, COMM_V 191, 291, ECON_V 325, 327, EPSE_V 482, FRST_V 231, GEOG_V 374, KIN_V 206, 371, LFS_V 252, POLI_V 380, PSYC_V 218, 278, SOCI_V 328</t>
  </si>
  <si>
    <t>S201</t>
  </si>
  <si>
    <t>Statistical Inference for Data Science</t>
  </si>
  <si>
    <t>Classical and simulation-based techniques for estimation and hypothesis testing, including inference for means and proportions. Emphasis on case studies and real data sets, as well as reproducible and transparent workflows when writing computer scripts for analysis and reports.</t>
  </si>
  <si>
    <t>[3-0-1]</t>
  </si>
  <si>
    <t>S203</t>
  </si>
  <si>
    <t>Statistical Methods</t>
  </si>
  <si>
    <t xml:space="preserve">Organizing, displaying and summarizing data. Inference estimation and testing for elementary probability models. </t>
  </si>
  <si>
    <t>Not for credit towards a B.Sc. Credit excluded with STAT_V 200, BIOL_V 300, BUSI_V 291, COMM_V 191, 291, ECON_V 325, 327, EPSE_V 482, FRST_V 231, GEOG_V 374, KIN_V 206, 371, LFS_V 252, POLI_V 380, PSYC_V 218, 278, SOCI_V 328</t>
  </si>
  <si>
    <t>S251</t>
  </si>
  <si>
    <t>Elementary Statistics</t>
  </si>
  <si>
    <t xml:space="preserve">Probability, discrete and continuous random variables, joint probability distributions, estimation, hypothesis testing, regression, analysis of variance, goodness of fit. </t>
  </si>
  <si>
    <t>Credit excluded with ECON_V 325, 327, PSYC_V 366, COMM_V 290</t>
  </si>
  <si>
    <t>S300</t>
  </si>
  <si>
    <t>Intermediate Statistics for Applications</t>
  </si>
  <si>
    <t xml:space="preserve">Further topics in statistical inference, including parametric and non-parametric methods, goodness-of-fit methods, analysis of variance and covariance, regression analysis, categorical data analysis, experimental designs, time series, model fitting, and statistical computing. </t>
  </si>
  <si>
    <t>Credit excluded with COMM_V 411</t>
  </si>
  <si>
    <t>S301</t>
  </si>
  <si>
    <t>Statistical Modelling for Data Science</t>
  </si>
  <si>
    <t xml:space="preserve">Data analysis using statistical models and algorithms (e.g., linear and logistic regression, peeking, bandit, and variable selection algorithms) in case studies from different disciplines. Generative versus out-of-sample predictive models. Reproducible and transparent workflows for computer scripts and reports. </t>
  </si>
  <si>
    <t>S302</t>
  </si>
  <si>
    <t>Introduction to Probability</t>
  </si>
  <si>
    <t xml:space="preserve">Basic notions of probability, random variables, expectation and conditional expectation, limit theorems. </t>
  </si>
  <si>
    <t>[3-0-0]</t>
  </si>
  <si>
    <t>Credit excluded with MATH_V 302, 318</t>
  </si>
  <si>
    <t>S305</t>
  </si>
  <si>
    <t>Introduction to Statistical Inference</t>
  </si>
  <si>
    <t xml:space="preserve">Review of probability theory. Sampling distribution theory, large sample theory and methods of estimation and hypothesis testing, including maximum likelihood estimation, likelihood ratio testing and confidence interval construction. </t>
  </si>
  <si>
    <t>S306</t>
  </si>
  <si>
    <t>Finding Relationships in Data</t>
  </si>
  <si>
    <t xml:space="preserve">Modelling a response (output) variable as a function of several explanatory (input) variables: multiple regression for a continuous response, logistic regression for a binary response, and log-linear models for count data. Finding low-dimensional structure: principal components analysis. Cluster analysis. </t>
  </si>
  <si>
    <t>Credit excluded with ECON_V 326, 328</t>
  </si>
  <si>
    <t>S307</t>
  </si>
  <si>
    <t>2</t>
  </si>
  <si>
    <t>Statistics Laboratory I</t>
  </si>
  <si>
    <t xml:space="preserve">Implementing theory in applications. Problem based learning. Generation and analysis of case data. Modelling, computation and reporting. </t>
  </si>
  <si>
    <t>[0-4-0]</t>
  </si>
  <si>
    <t>S308</t>
  </si>
  <si>
    <t>1</t>
  </si>
  <si>
    <t>Statistics Laboratory II</t>
  </si>
  <si>
    <t xml:space="preserve">Continuation of STAT 307. </t>
  </si>
  <si>
    <t>[0-2-0]</t>
  </si>
  <si>
    <t>S321</t>
  </si>
  <si>
    <t>4</t>
  </si>
  <si>
    <t>Stochastic Signals and Systems</t>
  </si>
  <si>
    <t>Stochastic behaviour of signals and systems (e.g., communication systems); discrete and continuous probability; random processes; modelling and identification of linear time-invariant systems; binary hypothesis testing and decision making.</t>
  </si>
  <si>
    <t>[3-0-2]</t>
  </si>
  <si>
    <t>STAT 305 may be taken concurrently, with registration assistance from the Student Programs Coordinator in the Department of Statistics. Equivalency: ELEC321. Credit excluded with ELEC_V 321</t>
  </si>
  <si>
    <t>S335</t>
  </si>
  <si>
    <t>Statistics in Quality Assurance</t>
  </si>
  <si>
    <t>Philosophy of quality improvement and total quality control. Definitions of quality. Deming's principles, Ishikawa's tools, control charts, acceptance sampling, continuous improvement, quality design.</t>
  </si>
  <si>
    <t>Credit cannot be obtained for both STAT 335 and WOOD 335. Credit excluded with WOOD_V 335</t>
  </si>
  <si>
    <t>S344</t>
  </si>
  <si>
    <t>Sample Surveys</t>
  </si>
  <si>
    <t>Planning and practice of sample surveys. Random sampling, bias and variance, unequal probability sampling, systematic, multistage and stratified sampling, ratio and regression estimators, post-stratification, establishing a frame, pretesting, pilot studies, nonresponse and additional topics.</t>
  </si>
  <si>
    <t>S404</t>
  </si>
  <si>
    <t>Design and Analysis of Experiments</t>
  </si>
  <si>
    <t>Theory and application of analysis of variance for standard experimental designs, including blocked, nested, factorial and split plot designs. Fixed and random effects, multiple comparisons, analysis of covariance.</t>
  </si>
  <si>
    <t>Credit excluded with FRST_V 430, PSYC_V 359</t>
  </si>
  <si>
    <t>S405</t>
  </si>
  <si>
    <t>Bayesian Statistics</t>
  </si>
  <si>
    <t xml:space="preserve">Bayesian approaches to statistical inference: probabilistic modelling, Bayesian inference workflows, approximation of posterior distributions supported by modelling languages, analysis of Bayesian procedures and posterior approximation methods. </t>
  </si>
  <si>
    <t>S406</t>
  </si>
  <si>
    <t>Methods for Statistical Learning</t>
  </si>
  <si>
    <t xml:space="preserve">Flexible, data-adaptive methods for regression and classification models; regression smoothers; penalty methods; assessing accuracy of prediction; model selection; robustness; classification and regression trees; nearest-neighbour methods; neural networks; model averaging and ensembles; computational time and visualization for large data sets. </t>
  </si>
  <si>
    <t>S443</t>
  </si>
  <si>
    <t>Time Series and Forecasting</t>
  </si>
  <si>
    <t xml:space="preserve">Trend and seasonality, autocorrelation, stationarity, stochastic models, exponential smoothing, Holt-Winters methods, Box-Jenkins approach, frequency domain analysis. </t>
  </si>
  <si>
    <t>S445</t>
  </si>
  <si>
    <t>Introduction to Exploratory Data Analysis</t>
  </si>
  <si>
    <t xml:space="preserve">Methods for exploring and presenting the structure of data: one group of numbers, several groups, bivariate data, time series data and two-way tables. Data displays, outlier identification, transformations, resistant regression, several types of data smoothing, comparisons with standard statistical methods. </t>
  </si>
  <si>
    <t>S447</t>
  </si>
  <si>
    <t>2-6</t>
  </si>
  <si>
    <t>Special Topics in Statistics</t>
  </si>
  <si>
    <t xml:space="preserve">Students should consult the Statistics Department for the particular topics offered in a given year. </t>
  </si>
  <si>
    <t>S449</t>
  </si>
  <si>
    <t>3-6</t>
  </si>
  <si>
    <t>Statistics Honours Project</t>
  </si>
  <si>
    <t xml:space="preserve">A research project, undertaken under the supervision of a faculty member, resulting in a written report. </t>
  </si>
  <si>
    <t>S450</t>
  </si>
  <si>
    <t>Case Studies in Statistics</t>
  </si>
  <si>
    <t xml:space="preserve">Readings and projects in areas of current statistical application including environmental science, industrial statistics, official statistics, actuarial statistics, and medical statistics. </t>
  </si>
  <si>
    <t>S460</t>
  </si>
  <si>
    <t>Statistical Inference I</t>
  </si>
  <si>
    <t>Statistical models and their properties, estimation methods, properties of point and interval estimation, likelihood, Bayesian inference.</t>
  </si>
  <si>
    <t xml:space="preserve">Intended for Honours students. </t>
  </si>
  <si>
    <t>S461</t>
  </si>
  <si>
    <t>Statistical Inference II</t>
  </si>
  <si>
    <t>Hypothesis testing and model selection in modern statistics, confidence regions, multiple testing, model comparison criteria.</t>
  </si>
  <si>
    <t>M100</t>
  </si>
  <si>
    <t>Differential Calculus with Applications</t>
  </si>
  <si>
    <t>Derivatives of elementary functions. Applications and modelling: graphing, optimization.</t>
  </si>
  <si>
    <t>Credit Exclusion List: https://vancouver.calendar.ubc.ca/faculties-colleges-and-schools/faculty-science/bachelor-science/credit-exclusion-lists</t>
  </si>
  <si>
    <t>M101</t>
  </si>
  <si>
    <t>Integral Calculus with Applications</t>
  </si>
  <si>
    <t>The definite integral, integration techniques, applications, modelling, infinite series.</t>
  </si>
  <si>
    <t>Equivalency: MATH_V 103, 105.</t>
  </si>
  <si>
    <t>M200</t>
  </si>
  <si>
    <t>Calculus III</t>
  </si>
  <si>
    <t>Analytic geometry in 2 and 3 dimensions, partial and directional derivatives, chain rule, maxima and minima, second derivative test, Lagrange multipliers, multiple integrals with applications.</t>
  </si>
  <si>
    <t>Please consult the Faculty of Science Credit Exclusion List: https://vancouver.calendar.ubc.ca/faculties-colleges-and-schools/faculty-science/bachelor-science/credit-exclusion-lists</t>
  </si>
  <si>
    <t>M221</t>
  </si>
  <si>
    <t>Matrix Algebra</t>
  </si>
  <si>
    <t>Systems of linear equations, operations on matrices, determinants, eigenvalues and eigenvectors, diagonalization of symmetric matrices. </t>
  </si>
  <si>
    <t>This course is intended for first and second year students. Please consult the Faculty of Science Credit Exclusion List: https://vancouver.calendar.ubc.ca/faculties-colleges-and-schools/faculty-science/bachelor-science/credit-exclusion-lists. Equivalency: MATH_V 111</t>
  </si>
  <si>
    <t>M320</t>
  </si>
  <si>
    <t>Real Variables I</t>
  </si>
  <si>
    <t>The real number system; real Euclidean n-space; open, closed, compact, and connected sets; Bolzano-Weierstrass theorem; sequences and series. Continuity and uniform continuity. Differentiability and mean-value theorems.</t>
  </si>
  <si>
    <t>D100</t>
  </si>
  <si>
    <t>Introduction to Data Science</t>
  </si>
  <si>
    <t>Use of data science tools to summarize, visualize, and analyze data. Sensible workflows and clear interpretations are emphasized.</t>
  </si>
  <si>
    <t>D200</t>
  </si>
  <si>
    <t>Navigating Data: Acquisition, Exploration and Management</t>
  </si>
  <si>
    <t>Acquiring data through web scraping and generating synthetic data via simulations. Sampling and experimental designs. Reporting and visualizing data and data quality. Data privacy and ownership. Emphasis on case studies and real data sets.</t>
  </si>
  <si>
    <t>requisite_id</t>
  </si>
  <si>
    <t>type</t>
  </si>
  <si>
    <t>pre</t>
  </si>
  <si>
    <t>One of any course on the MATH 100 credit exclusion list [https://vancouver.calendar.ubc.ca/faculties-colleges-and-schools/facult…], MATH 190, SCIE 001</t>
  </si>
  <si>
    <t>DSCI 100</t>
  </si>
  <si>
    <t>MATH 11. Or Pre-calculus 11</t>
  </si>
  <si>
    <t>One of MATH 101, MATH 103, MATH 105, MATH 121, SCIE 001</t>
  </si>
  <si>
    <t>One of STAT 200, STAT 203,  STAT 251, BIOL 300, BUSI 291, COMM 191, COMM 291, ECON 325, ECON 327, FRST 231, KIN 206, LFS 252, POLI 380, PSYC 218, PSYC 278</t>
  </si>
  <si>
    <t>STAT 201</t>
  </si>
  <si>
    <t>One of MATH 100, MATH 102, MATH 104, MATH 110, MATH 120, MATH 180, MATH 184, SCIE 001</t>
  </si>
  <si>
    <t>One of MATH 200, MATH 226, MATH 217, MATH 253, MATH 254</t>
  </si>
  <si>
    <t>Either (a) one of STAT 200, STAT 203, BIOL 300, STAT 251, COMM 291, ECON 325, FRST 231, PSYC 218, PSYC 366 and one of MATH 302, STAT 302; or (b) DSCI 200 and STAT 201 and one of MATH 302, STAT 302; or (c) a score of 65% or higher in one of MATH 302, STAT 302</t>
  </si>
  <si>
    <t>One of MATH 152, MATH 221, MATH 223</t>
  </si>
  <si>
    <t>One of STAT 200,  STAT 251, STAT 300, BIOL 300, BUSI 291, COMM 191, COMM 291, ECON 325, ECON 327, FRST 231, PSYC 218, PSYC 278</t>
  </si>
  <si>
    <t>One of STAT 302, MATH 302</t>
  </si>
  <si>
    <t>co</t>
  </si>
  <si>
    <t>STAT 306</t>
  </si>
  <si>
    <t>One of ELEC 221, STAT 305. STAT 305 may be taken concurrently, with registration assistance from the Student Programs Coordinator in the Department of Statistics.</t>
  </si>
  <si>
    <t>One of STAT 200,  STAT 251, BIOL 300</t>
  </si>
  <si>
    <t>One of STAT 200,  STAT 251, BIOL 300, COMM 291, ECON 325, ECON 327, FRST 231, PSYC 218, PSYC 278, PSYC 366</t>
  </si>
  <si>
    <t>STAT 305</t>
  </si>
  <si>
    <t>One of MATH 152, MATH 221, or MATH 223</t>
  </si>
  <si>
    <t>ECON 326 or STAT 306</t>
  </si>
  <si>
    <t>One of MATH 302, STAT 302, or MATH 418</t>
  </si>
  <si>
    <t>One of STAT 305, STAT 460</t>
  </si>
  <si>
    <t>a) One of STAT 306, CPSC 340, or b) STAT 301 and one of MATH 152, MATH 221, MATH 223 and one of STAT 302, MATH 302</t>
  </si>
  <si>
    <t>One of MATH 302, MATH 318, STAT 302</t>
  </si>
  <si>
    <t>One of STAT 200,  STAT 251, STAT 300, BIOL 300, COMM 291, ECON 325, ECON 327, FRST 231, POLI 380, PSYC 218, PSYC 278, PSYC 366</t>
  </si>
  <si>
    <t>Open to students enrolled in a Statistics Honours specialization and at class standing 4. Permission of the Undergraduate Advisor and supervising faculty member is required</t>
  </si>
  <si>
    <t>MATH 320</t>
  </si>
  <si>
    <t>STAT 460</t>
  </si>
  <si>
    <t>A score of 80% or higher in BC Pre-calculus 12. High school calculus is strongly recommended.</t>
  </si>
  <si>
    <t>One of MATH 100, MATH 102, MATH 104, MATH 110, MATH 120, MATH 180, MATH 184.</t>
  </si>
  <si>
    <t>One of MATH 101, MATH 103, MATH 105, MATH 121, SCIE 001.</t>
  </si>
  <si>
    <t>Either (a) one of MATH 100, MATH 102, MATH 104, MATH 110, MATH 120, MATH 180, MATH 184, SCIE 001 or (b) advanced credit for MATH 100, or (c) SCIE 001 as a corequisite.</t>
  </si>
  <si>
    <t>Either (a) a score of 68% or higher in MATH 226 or (b) one of MATH 200, MATH 217, MATH 226, MATH 253, MATH 254 and a score of 80% or higher in MATH 220.</t>
  </si>
  <si>
    <t>MATH 12</t>
  </si>
  <si>
    <t>›</t>
  </si>
  <si>
    <t>requisite_number</t>
  </si>
  <si>
    <t>is_primary</t>
  </si>
  <si>
    <t>exclusion_id</t>
  </si>
  <si>
    <t>STAT_V 200, STAT_V 203, BIOL_V 300, BUSI_V 291, COMM_V 191, COMM_V 291, ECON_V 325, ECON_V 327, EPSE_V 482, FRST_V 231, GEOG_V 374, KIN_V 206, KIN_V 371, LFS_V 252, POLI_V 380, PSYC_V 218, PSYC_V 278, SOCI_V 328</t>
  </si>
  <si>
    <t>STAT_V 251, ECON_V 325, ECON_V 327, PSYC_V 366, COMM_V 290</t>
  </si>
  <si>
    <t>STAT_V 300, COMM_V 411</t>
  </si>
  <si>
    <t>STAT_V 302, MATH_V 302, MATH_V 318</t>
  </si>
  <si>
    <t>STAT_V 306, ECON_V 326, ECON_V 328</t>
  </si>
  <si>
    <t>STAT_V 321, ELEC_V 321</t>
  </si>
  <si>
    <t>STAT_V 335, WOOD_V 335</t>
  </si>
  <si>
    <t>STAT_V 404, FRST_V 430, PSYC_V 359</t>
  </si>
  <si>
    <t>program_id</t>
  </si>
  <si>
    <t>name</t>
  </si>
  <si>
    <t>description1</t>
  </si>
  <si>
    <t>description2</t>
  </si>
  <si>
    <t>All Courses</t>
  </si>
  <si>
    <t>[DESCRIPTION 1]</t>
  </si>
  <si>
    <t>[DESCRIPTION 2]</t>
  </si>
  <si>
    <t>Major in Statistics</t>
  </si>
  <si>
    <t>Honours in Statistics</t>
  </si>
  <si>
    <t>Minor in Statistics</t>
  </si>
  <si>
    <t>r</t>
  </si>
  <si>
    <t>theta</t>
  </si>
  <si>
    <t>x</t>
  </si>
  <si>
    <t>y</t>
  </si>
  <si>
    <t>required</t>
  </si>
  <si>
    <t>course_x</t>
  </si>
  <si>
    <t>course_y</t>
  </si>
  <si>
    <t>requisite_x</t>
  </si>
  <si>
    <t>requisite_y</t>
  </si>
  <si>
    <t>requisite_is_primary</t>
  </si>
  <si>
    <t>course_requisite_number</t>
  </si>
  <si>
    <t>equivalency_id</t>
  </si>
  <si>
    <t>equivalency_number</t>
  </si>
  <si>
    <t>M102</t>
  </si>
  <si>
    <t>M104</t>
  </si>
  <si>
    <t>M110</t>
  </si>
  <si>
    <t>M120</t>
  </si>
  <si>
    <t>M180</t>
  </si>
  <si>
    <t>M184</t>
  </si>
  <si>
    <t>M103</t>
  </si>
  <si>
    <t>M105</t>
  </si>
  <si>
    <t>M121</t>
  </si>
  <si>
    <t>M152</t>
  </si>
  <si>
    <t>M223</t>
  </si>
  <si>
    <t>M302</t>
  </si>
  <si>
    <t>M226</t>
  </si>
  <si>
    <t>M217</t>
  </si>
  <si>
    <t>M253</t>
  </si>
  <si>
    <t>M254</t>
  </si>
  <si>
    <t>track_id</t>
  </si>
  <si>
    <t>courses</t>
  </si>
  <si>
    <t>suggested</t>
  </si>
  <si>
    <t>Differential Equations and Analysis</t>
  </si>
  <si>
    <t>MATH 300, 301, 316, 317, 319, 329, 345, 400, 405</t>
  </si>
  <si>
    <t>PHYS 301, 304, 306</t>
  </si>
  <si>
    <t>This concentration is centred on the analysis of functions and the phenomena they describe, from quantum mechanics to celestial motion. Topics in this stream have many applications in physics and engineering. If you like calculus and want to learn about some of its most important applications, this concentration is for you.</t>
  </si>
  <si>
    <t>Degree requirements for BA/BSc Major in Mathematics include:&lt;ul&gt;&lt;li&gt;Calculus I (MATH 100, 102, 104, 180, 184, 110 or 120)&lt;/li&gt;&lt;li&gt;Calculus II (MATH 101, 103, 105 or 121)&lt;/li&gt;&lt;li&gt;Calculus III (MATH 200, 217 or 226)&lt;/li&gt;&lt;li&gt;Mathematical Proof (MATH 220)&lt;/li&gt;&lt;li&gt;Linear Algebra (MATH 221 or 223)&lt;/li&gt;&lt;li&gt;Differential Equations (MATH 215)&lt;/li&gt;&lt;li&gt;Mathematical Computing (MATH 210 or CPSC 210)&lt;/li&gt;&lt;li&gt;24 credits of MATH courses numbered 300 or above&lt;/li&gt;&lt;/ul&gt;</t>
  </si>
  <si>
    <t>Computational Mathematics</t>
  </si>
  <si>
    <t>MATH 307, 316, 319, 329, 340, 360, 405, 441, 461</t>
  </si>
  <si>
    <t>CPSC 302, 303, 402, 406; PHYS 210, 410</t>
  </si>
  <si>
    <t>This concentration is centred on solving problems using numerical techniques and approximations. Topics in this concentration have many applications in engineering, economics and computing. If you like solving math problems using software and programming, this concentration is for you.</t>
  </si>
  <si>
    <t>Mathematics of Information</t>
  </si>
  <si>
    <t>MATH 302, 303, 307, 319, 329, 340, 344, 441, 442</t>
  </si>
  <si>
    <t>CPSC 340, 440; PHIL 320, 321; PHYS 310; STAT 301, 305, 306, 406</t>
  </si>
  <si>
    <t>This concentration is centred on the theoretical foundations of data science. Topics in this concentration have many applications in machine learning and signal processing. If you like algorithms and making sense of large data sets, this concentration is for you.</t>
  </si>
  <si>
    <t>Mathematical Modelling</t>
  </si>
  <si>
    <t>MATH 302, 303, 316, 319, 329, 344, 345, 360+461 &lt;strong&gt;or&lt;/strong&gt; 361+462</t>
  </si>
  <si>
    <t>CPSC 330, 421; PHIL 321; PHYS 305</t>
  </si>
  <si>
    <t>This concentration is centred on constructing and evaluating mathematical models. Topics in this stream have many applications in science, especially in mathematical biology and computational mathematics for physical problems. If you like multidisciplinary work and using mathematics to describe real-world problems, this concentration is for you.</t>
  </si>
  <si>
    <t>Classical Mathematical Structures</t>
  </si>
  <si>
    <t>MATH 308, 309, 312, 313, 319, 329, 341, 342, 442</t>
  </si>
  <si>
    <t>CPSC 424; PHIL 320, 322, 323, 420</t>
  </si>
  <si>
    <t>This concentration is centred on classical problems in two of the most enduring branches of mathematics. Topics in this concentration have modern applications in areas including cryptography and computer graphics. If you like patterns and puzzles, this concentration is for you.</t>
  </si>
  <si>
    <t>reflection_id</t>
  </si>
  <si>
    <t>image</t>
  </si>
  <si>
    <t>currently</t>
  </si>
  <si>
    <t>degrees</t>
  </si>
  <si>
    <t>quote</t>
  </si>
  <si>
    <t>reflection</t>
  </si>
  <si>
    <t>JingyuanHu.jpg</t>
  </si>
  <si>
    <t>Jingyuan Hu</t>
  </si>
  <si>
    <t>PhD Student in Operations Research</t>
  </si>
  <si>
    <t>UBC Math 2019</t>
  </si>
  <si>
    <t>MATH 300, 302, 317</t>
  </si>
  <si>
    <t>My thorough training in analysis and probability has proved immensely valuable.</t>
  </si>
  <si>
    <t>As a PhD student in Operations Research, I frequently grapple with problems related to optimization and machine learning, and my thorough training in analysis and probability has proved immensely valuable. Whether you're engaged in research or an internship, acquiring knowledge in advanced courses sooner rather than later will give you a competitive edge. After all, the earlier you start, the more margin for error you have. Talk to your teachers and classmates often – having diverse perspectives and ideas is always beneficial.</t>
  </si>
  <si>
    <t>ShuwenJiang.jpg</t>
  </si>
  <si>
    <t>Shuwen Jiang</t>
  </si>
  <si>
    <t>MSc in Finance</t>
  </si>
  <si>
    <t>UBC Math and Economics 2021</t>
  </si>
  <si>
    <t>MATH 307, 316, 340</t>
  </si>
  <si>
    <t>MATH 340 (Introduction to Linear Programming) taught me how to think about optimization problems, such as how to maximize profit with constraints on risk.</t>
  </si>
  <si>
    <t>JamesYu.png</t>
  </si>
  <si>
    <t>James Yu</t>
  </si>
  <si>
    <t>PhD Student in Economics</t>
  </si>
  <si>
    <t>UBC Math and Economics 2022</t>
  </si>
  <si>
    <t>MATH 302, 307, 340, 442</t>
  </si>
  <si>
    <t>Many everyday optimization problems can be solved through the lens of graph-analyzing algorithms.</t>
  </si>
  <si>
    <t>I took Math 442 (Graphs and Networks) to formalize my interest in studying networks, an area I now explore in studying game theory as a PhD student in Economics. My biggest takeaway from the course was the idea that many everyday optimization problems can be solved through the lens of graph-analyzing algorithms: pathfinding, scheduling, searching and more. I learned that by representing a problem as a graph of vertices and edges, we give structure to difficult, high-dimensional scenarios. These structures then allow us to efficiently solve problems via algorithmic analysis, unlocking improvements in our lives that were previously inaccessible. In my research and graduate studies, I now use many of these models to gain insight into the welfare of individuals interacting in network environments such as markets and social media. By modeling these environments with graphs, we can determine if there are opportunities for systemic change, which can lead to beneficial welfare improvements in the lives of these individuals.</t>
  </si>
  <si>
    <t>FanerChen.jpg</t>
  </si>
  <si>
    <t>Faner Chen</t>
  </si>
  <si>
    <t>Investment Banker</t>
  </si>
  <si>
    <t>MATH 302, 345, 360</t>
  </si>
  <si>
    <t>Every time I encounter big problems, I always try to break them into smaller ones and approach them step by step.</t>
  </si>
  <si>
    <t>I might not remember every single theorem I learned in class, but what I value most is the skill of problem solving and logical thinking. During my first two years at UBC, I always wondered how I can apply what I have learned to something practical. Then I took some courses in mathematical modelling, like MATH 345 and MATH 360. In these courses, some real-world problems were seemingly impossible to solve. We were expected to break them down into smaller pieces and make reasonable assumptions. In my job, every time I encounter big problems, I always try to break them into smaller ones and approach them step by step.</t>
  </si>
  <si>
    <t>JoshuaRenault.png</t>
  </si>
  <si>
    <t>Joshua Renault</t>
  </si>
  <si>
    <t>MSc Student in Math</t>
  </si>
  <si>
    <t>UBC Math 2020</t>
  </si>
  <si>
    <t>MATH 310, 312, 313</t>
  </si>
  <si>
    <t>If you allow yourself to be amazed by the discipline, you will excel.</t>
  </si>
  <si>
    <t>The abstract nature of MATH 313 (Topics in Number Theory) is fascinating. I believe that this course gave me the skills to be confident starting any proof. This course will definitely have you closing your eyes and trying to imagine different spaces, and it is totally worth it.  (Take MATH 312 not STAT 312 as a prerequisite. It’s tougher but what you learn doing the proofs is invaluable.)&lt;br&gt;&lt;br&gt;I think the best advice I can offer is to enjoy the math you are taking. It is definitely a challenging degree, but if you allow yourself to be amazed by the discipline, you will excel.</t>
  </si>
  <si>
    <t>ubc.png</t>
  </si>
  <si>
    <t>Fiona Sudihok</t>
  </si>
  <si>
    <t>Systems Engineer</t>
  </si>
  <si>
    <t>-</t>
  </si>
  <si>
    <t>Math courses are not easy and fairly rigorous, and I think that having gone through them during undergrad in general made me a better problem solver.</t>
  </si>
  <si>
    <t>Math courses are not easy and fairly rigorous, and I think that having gone through them during undergrad in general made me a better problem solver, which is a very crucial skill in my day to day work. I really enjoyed a lot of the courses I took while I was in the program, but if I could change things up I would have liked to take courses that are more connected to each other to gain deeper knowledge on certain topics, as opposed to taking a more "introductory" course at every level.</t>
  </si>
  <si>
    <t>MeganOxland.jpeg</t>
  </si>
  <si>
    <t>Megan Oxland</t>
  </si>
  <si>
    <t>MSc Student in Astrophysics</t>
  </si>
  <si>
    <t>MATH 300, 301, 316, 317, 400</t>
  </si>
  <si>
    <t>The math courses that were heavily focused on linear algebra, calculus, and differential equations turned out to be the most useful.</t>
  </si>
  <si>
    <t>The math courses I took at UBC allowed me to explore my passions and taught me the foundational problem-solving skills I still use on a daily basis. I learned early on I was much more interested in applied math, yet every course I took still turned out to be valuable. In my day-to-day work in Astrophysics, the math courses that were heavily focused on linear algebra, calculus, and differential equations turned out to be the most useful. If you like MATH 316, MATH 400 is a natural continuation. And in MATH 317 the vector operators (i.e. gradient, divergence, curl, etc.) and theorems (i.e. Gauss, Stokes etc.) are extremely important topics that always arise in physics.&lt;br&gt;&lt;br&gt;There are a large number of electives Math students are able to take. Take the opportunity to select courses that are of interest, and not just ones that your friends are taking or are known to boost your average. This is the time to learn about all disciplines, and if you find something you are truly passionate about, stick with it and consider adding a minor to your degree. No only will you enjoy your electives, but a minor will organize your electives in a logical way and may provide you with future opportunities. One final piece of advice: go to office hours! I cannot stress this enough. Your professors are there to help you, and although it may be intimidating at first you will always feel much better after leaving.</t>
  </si>
  <si>
    <t>ChuxuanZhang.jpg</t>
  </si>
  <si>
    <t>Chuxuan Zhang</t>
  </si>
  <si>
    <t>MSc Student in Computer Science</t>
  </si>
  <si>
    <t>UBC Math 2022</t>
  </si>
  <si>
    <t>MATH 302, 303, 361</t>
  </si>
  <si>
    <t>You can learn classical biological models and get inspired by them even if your research interest seems in a completely different domain.</t>
  </si>
  <si>
    <t>MATH 361 helped me gain a lot of insight. I'm now doing research in the area of affective computing where I refine existing models which predict/classify human emotions. It is intuitive and straightforward to draw analogies between human emotions and biological systems. As humans, we experience complex emotions instead of monotone discrete emotions at any time. For example, if you are into horror movies, you probably have the combined feeling of being scared and thrilled when watching them. But too much fear might kill your joy, and too much joy won’t give you a sense of dread at all. The dynamic equilibrium is similar to the classical Lotka-Volterra predator-prey model which is taught in MATH 361! MATH 361 is a course where you can learn classical biological models and get inspired by them even if your research interest seems in a completely different domain.</t>
  </si>
  <si>
    <t>KarishmaSharma.jpg</t>
  </si>
  <si>
    <t>Karishma Sharma</t>
  </si>
  <si>
    <t>High School Math Teacher</t>
  </si>
  <si>
    <t>MATH 308, 310, 312, 342</t>
  </si>
  <si>
    <t>MATH 308 is where I really began to develop a love of proofs.</t>
  </si>
  <si>
    <t>MATH 308 is where I really began to develop a love of proofs. It was the first time I really understood how to approach proofs and how much fun they could be. This later directly applied to my job as I taught Foundations of Math 11/12 during my Teacher Education Practicum and had to be familiar with geometry proofs in particular. I learned relevant math teaching skills from this course as well. The way it was designed allowed us to problem-solve in less traditional ways. Assignments were formatted in a way that promoted student learning, so now I am able to apply those same strategies when assigning work to students. The prof I had for this course helped inspire me to dig deeper with my learning by asking guiding questions, and also engaging in teaching strategy discussions during office hours, which again has influenced my current teaching practices. I will be forever grateful for this course and the prof I had for inspiring and empowering me in so many different ways.</t>
  </si>
  <si>
    <t xml:space="preserve">S200 </t>
  </si>
  <si>
    <t xml:space="preserve">S201 </t>
  </si>
  <si>
    <t xml:space="preserve">S203 </t>
  </si>
  <si>
    <t xml:space="preserve">S251 </t>
  </si>
  <si>
    <t xml:space="preserve">S300 </t>
  </si>
  <si>
    <t xml:space="preserve">S301 </t>
  </si>
  <si>
    <t xml:space="preserve">S302 </t>
  </si>
  <si>
    <t xml:space="preserve">S305 </t>
  </si>
  <si>
    <t xml:space="preserve">S306 </t>
  </si>
  <si>
    <t xml:space="preserve">S307 </t>
  </si>
  <si>
    <t xml:space="preserve">S308 </t>
  </si>
  <si>
    <t xml:space="preserve">S321 </t>
  </si>
  <si>
    <t xml:space="preserve">S335 </t>
  </si>
  <si>
    <t xml:space="preserve">S344 </t>
  </si>
  <si>
    <t xml:space="preserve">S404 </t>
  </si>
  <si>
    <t xml:space="preserve">S405 </t>
  </si>
  <si>
    <t xml:space="preserve">S406 </t>
  </si>
  <si>
    <t xml:space="preserve">S443 </t>
  </si>
  <si>
    <t xml:space="preserve">S445 </t>
  </si>
  <si>
    <t xml:space="preserve">S447 </t>
  </si>
  <si>
    <t xml:space="preserve">S449 </t>
  </si>
  <si>
    <t xml:space="preserve">S450 </t>
  </si>
  <si>
    <t xml:space="preserve">S460 </t>
  </si>
  <si>
    <t xml:space="preserve">S461 </t>
  </si>
  <si>
    <t xml:space="preserve">M100 </t>
  </si>
  <si>
    <t xml:space="preserve">M101 </t>
  </si>
  <si>
    <t xml:space="preserve">M200 </t>
  </si>
  <si>
    <t xml:space="preserve">M221 </t>
  </si>
  <si>
    <t xml:space="preserve">M320 </t>
  </si>
  <si>
    <t xml:space="preserve">D100 </t>
  </si>
  <si>
    <t xml:space="preserve">D200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</si>
</sst>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6" x14ac:knownFonts="1">
    <font>
      <sz val="11"/>
      <color theme="1"/>
      <name val="Calibri"/>
      <scheme val="minor"/>
    </font>
    <font>
      <b/>
      <sz val="11"/>
      <color theme="1"/>
      <name val="Calibri"/>
      <family val="2"/>
    </font>
    <font>
      <sz val="11"/>
      <color theme="1"/>
      <name val="Calibri"/>
      <family val="2"/>
      <scheme val="minor"/>
    </font>
    <font>
      <sz val="11"/>
      <color rgb="FF000000"/>
      <name val="Calibri"/>
      <family val="2"/>
    </font>
    <font>
      <sz val="11"/>
      <color theme="1"/>
      <name val="Calibri"/>
      <family val="2"/>
    </font>
    <font>
      <sz val="12"/>
      <color rgb="FF000000"/>
      <name val="Calibri"/>
      <family val="2"/>
    </font>
  </fonts>
  <fills count="2">
    <fill>
      <patternFill patternType="none"/>
    </fill>
    <fill>
      <patternFill patternType="gray125"/>
    </fill>
  </fills>
  <borders count="3">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s>
  <cellStyleXfs count="1">
    <xf numFmtId="0" fontId="0" fillId="0" borderId="0"/>
  </cellStyleXfs>
  <cellXfs count="14">
    <xf numFmtId="0" fontId="0" fillId="0" borderId="0" xfId="0"/>
    <xf numFmtId="0" fontId="1" fillId="0" borderId="1" xfId="0" applyFont="1" applyBorder="1" applyAlignment="1">
      <alignment horizontal="center" vertical="top"/>
    </xf>
    <xf numFmtId="0" fontId="2" fillId="0" borderId="0" xfId="0" applyFont="1"/>
    <xf numFmtId="0" fontId="1" fillId="0" borderId="2" xfId="0" applyFont="1" applyBorder="1" applyAlignment="1">
      <alignment horizontal="center" vertical="top"/>
    </xf>
    <xf numFmtId="0" fontId="3" fillId="0" borderId="0" xfId="0" applyFont="1"/>
    <xf numFmtId="0" fontId="4" fillId="0" borderId="0" xfId="0" applyFont="1"/>
    <xf numFmtId="0" fontId="4" fillId="0" borderId="0" xfId="0" applyFont="1" applyAlignment="1">
      <alignment vertical="top" wrapText="1"/>
    </xf>
    <xf numFmtId="164" fontId="4" fillId="0" borderId="0" xfId="0" applyNumberFormat="1" applyFont="1"/>
    <xf numFmtId="0" fontId="5" fillId="0" borderId="0" xfId="0" applyFont="1"/>
    <xf numFmtId="1" fontId="4" fillId="0" borderId="0" xfId="0" applyNumberFormat="1" applyFont="1"/>
    <xf numFmtId="164" fontId="3" fillId="0" borderId="0" xfId="0" applyNumberFormat="1" applyFont="1"/>
    <xf numFmtId="0" fontId="5" fillId="0" borderId="0" xfId="0" applyFont="1" applyAlignment="1">
      <alignment wrapText="1"/>
    </xf>
    <xf numFmtId="0" fontId="4" fillId="0" borderId="0" xfId="0" applyFont="1" applyAlignment="1">
      <alignment vertical="center" wrapText="1"/>
    </xf>
    <xf numFmtId="0" fontId="4" fillId="0" borderId="0" xfId="0"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00"/>
  <sheetViews>
    <sheetView workbookViewId="0">
      <selection activeCell="D32" sqref="D32"/>
    </sheetView>
  </sheetViews>
  <sheetFormatPr baseColWidth="10" defaultColWidth="14.5" defaultRowHeight="15" customHeight="1" x14ac:dyDescent="0.2"/>
  <cols>
    <col min="1" max="1" width="14.1640625" customWidth="1"/>
    <col min="2" max="2" width="8.83203125" customWidth="1"/>
    <col min="3" max="3" width="46.5" customWidth="1"/>
    <col min="4" max="4" width="218.5" customWidth="1"/>
    <col min="5" max="26" width="8.83203125" customWidth="1"/>
  </cols>
  <sheetData>
    <row r="1" spans="1:6" x14ac:dyDescent="0.2">
      <c r="A1" s="1" t="s">
        <v>0</v>
      </c>
      <c r="B1" s="1" t="s">
        <v>1</v>
      </c>
      <c r="C1" s="1" t="s">
        <v>2</v>
      </c>
      <c r="D1" s="1" t="s">
        <v>3</v>
      </c>
      <c r="E1" s="1" t="s">
        <v>4</v>
      </c>
      <c r="F1" s="1" t="s">
        <v>5</v>
      </c>
    </row>
    <row r="2" spans="1:6" x14ac:dyDescent="0.2">
      <c r="A2" s="2" t="s">
        <v>6</v>
      </c>
      <c r="B2" s="2" t="s">
        <v>7</v>
      </c>
      <c r="C2" s="2" t="s">
        <v>8</v>
      </c>
      <c r="D2" s="2" t="s">
        <v>9</v>
      </c>
      <c r="E2" s="2" t="s">
        <v>10</v>
      </c>
      <c r="F2" s="2" t="s">
        <v>11</v>
      </c>
    </row>
    <row r="3" spans="1:6" x14ac:dyDescent="0.2">
      <c r="A3" s="2" t="s">
        <v>12</v>
      </c>
      <c r="B3" s="2" t="s">
        <v>7</v>
      </c>
      <c r="C3" s="2" t="s">
        <v>13</v>
      </c>
      <c r="D3" s="2" t="s">
        <v>14</v>
      </c>
      <c r="E3" s="2" t="s">
        <v>15</v>
      </c>
    </row>
    <row r="4" spans="1:6" x14ac:dyDescent="0.2">
      <c r="A4" s="2" t="s">
        <v>16</v>
      </c>
      <c r="B4" s="2" t="s">
        <v>7</v>
      </c>
      <c r="C4" s="2" t="s">
        <v>17</v>
      </c>
      <c r="D4" s="2" t="s">
        <v>18</v>
      </c>
      <c r="E4" s="2" t="s">
        <v>10</v>
      </c>
      <c r="F4" s="2" t="s">
        <v>19</v>
      </c>
    </row>
    <row r="5" spans="1:6" x14ac:dyDescent="0.2">
      <c r="A5" s="2" t="s">
        <v>20</v>
      </c>
      <c r="B5" s="2" t="s">
        <v>7</v>
      </c>
      <c r="C5" s="2" t="s">
        <v>21</v>
      </c>
      <c r="D5" s="2" t="s">
        <v>22</v>
      </c>
      <c r="E5" s="2" t="s">
        <v>10</v>
      </c>
      <c r="F5" s="2" t="s">
        <v>23</v>
      </c>
    </row>
    <row r="6" spans="1:6" x14ac:dyDescent="0.2">
      <c r="A6" s="2" t="s">
        <v>24</v>
      </c>
      <c r="B6" s="2" t="s">
        <v>7</v>
      </c>
      <c r="C6" s="2" t="s">
        <v>25</v>
      </c>
      <c r="D6" s="2" t="s">
        <v>26</v>
      </c>
      <c r="E6" s="2" t="s">
        <v>10</v>
      </c>
      <c r="F6" s="2" t="s">
        <v>27</v>
      </c>
    </row>
    <row r="7" spans="1:6" x14ac:dyDescent="0.2">
      <c r="A7" s="2" t="s">
        <v>28</v>
      </c>
      <c r="B7" s="2" t="s">
        <v>7</v>
      </c>
      <c r="C7" s="2" t="s">
        <v>29</v>
      </c>
      <c r="D7" s="2" t="s">
        <v>30</v>
      </c>
      <c r="E7" s="2" t="s">
        <v>15</v>
      </c>
    </row>
    <row r="8" spans="1:6" x14ac:dyDescent="0.2">
      <c r="A8" s="2" t="s">
        <v>31</v>
      </c>
      <c r="B8" s="2" t="s">
        <v>7</v>
      </c>
      <c r="C8" s="2" t="s">
        <v>32</v>
      </c>
      <c r="D8" s="2" t="s">
        <v>33</v>
      </c>
      <c r="E8" s="2" t="s">
        <v>34</v>
      </c>
      <c r="F8" s="2" t="s">
        <v>35</v>
      </c>
    </row>
    <row r="9" spans="1:6" x14ac:dyDescent="0.2">
      <c r="A9" s="2" t="s">
        <v>36</v>
      </c>
      <c r="B9" s="2" t="s">
        <v>7</v>
      </c>
      <c r="C9" s="2" t="s">
        <v>37</v>
      </c>
      <c r="D9" s="2" t="s">
        <v>38</v>
      </c>
      <c r="E9" s="2" t="s">
        <v>15</v>
      </c>
    </row>
    <row r="10" spans="1:6" x14ac:dyDescent="0.2">
      <c r="A10" s="2" t="s">
        <v>39</v>
      </c>
      <c r="B10" s="2" t="s">
        <v>7</v>
      </c>
      <c r="C10" s="2" t="s">
        <v>40</v>
      </c>
      <c r="D10" s="2" t="s">
        <v>41</v>
      </c>
      <c r="E10" s="2" t="s">
        <v>15</v>
      </c>
      <c r="F10" s="2" t="s">
        <v>42</v>
      </c>
    </row>
    <row r="11" spans="1:6" x14ac:dyDescent="0.2">
      <c r="A11" s="2" t="s">
        <v>43</v>
      </c>
      <c r="B11" s="2" t="s">
        <v>44</v>
      </c>
      <c r="C11" s="2" t="s">
        <v>45</v>
      </c>
      <c r="D11" s="2" t="s">
        <v>46</v>
      </c>
      <c r="E11" s="2" t="s">
        <v>47</v>
      </c>
    </row>
    <row r="12" spans="1:6" x14ac:dyDescent="0.2">
      <c r="A12" s="2" t="s">
        <v>48</v>
      </c>
      <c r="B12" s="2" t="s">
        <v>49</v>
      </c>
      <c r="C12" s="2" t="s">
        <v>50</v>
      </c>
      <c r="D12" s="2" t="s">
        <v>51</v>
      </c>
      <c r="E12" s="2" t="s">
        <v>52</v>
      </c>
    </row>
    <row r="13" spans="1:6" x14ac:dyDescent="0.2">
      <c r="A13" s="2" t="s">
        <v>53</v>
      </c>
      <c r="B13" s="2" t="s">
        <v>54</v>
      </c>
      <c r="C13" s="2" t="s">
        <v>55</v>
      </c>
      <c r="D13" s="2" t="s">
        <v>56</v>
      </c>
      <c r="E13" s="2" t="s">
        <v>57</v>
      </c>
      <c r="F13" s="2" t="s">
        <v>58</v>
      </c>
    </row>
    <row r="14" spans="1:6" x14ac:dyDescent="0.2">
      <c r="A14" s="2" t="s">
        <v>59</v>
      </c>
      <c r="B14" s="2" t="s">
        <v>7</v>
      </c>
      <c r="C14" s="2" t="s">
        <v>60</v>
      </c>
      <c r="D14" s="2" t="s">
        <v>61</v>
      </c>
      <c r="E14" s="2" t="s">
        <v>15</v>
      </c>
      <c r="F14" s="2" t="s">
        <v>62</v>
      </c>
    </row>
    <row r="15" spans="1:6" x14ac:dyDescent="0.2">
      <c r="A15" s="2" t="s">
        <v>63</v>
      </c>
      <c r="B15" s="2" t="s">
        <v>7</v>
      </c>
      <c r="C15" s="2" t="s">
        <v>64</v>
      </c>
      <c r="D15" s="2" t="s">
        <v>65</v>
      </c>
      <c r="E15" s="2" t="s">
        <v>15</v>
      </c>
    </row>
    <row r="16" spans="1:6" x14ac:dyDescent="0.2">
      <c r="A16" s="2" t="s">
        <v>66</v>
      </c>
      <c r="B16" s="2" t="s">
        <v>7</v>
      </c>
      <c r="C16" s="2" t="s">
        <v>67</v>
      </c>
      <c r="D16" s="2" t="s">
        <v>68</v>
      </c>
      <c r="E16" s="2" t="s">
        <v>15</v>
      </c>
      <c r="F16" s="2" t="s">
        <v>69</v>
      </c>
    </row>
    <row r="17" spans="1:6" x14ac:dyDescent="0.2">
      <c r="A17" s="2" t="s">
        <v>70</v>
      </c>
      <c r="B17" s="2" t="s">
        <v>7</v>
      </c>
      <c r="C17" s="2" t="s">
        <v>71</v>
      </c>
      <c r="D17" s="2" t="s">
        <v>72</v>
      </c>
      <c r="E17" s="2" t="s">
        <v>15</v>
      </c>
    </row>
    <row r="18" spans="1:6" x14ac:dyDescent="0.2">
      <c r="A18" s="2" t="s">
        <v>73</v>
      </c>
      <c r="B18" s="2" t="s">
        <v>7</v>
      </c>
      <c r="C18" s="2" t="s">
        <v>74</v>
      </c>
      <c r="D18" s="2" t="s">
        <v>75</v>
      </c>
      <c r="E18" s="2" t="s">
        <v>15</v>
      </c>
    </row>
    <row r="19" spans="1:6" x14ac:dyDescent="0.2">
      <c r="A19" s="2" t="s">
        <v>76</v>
      </c>
      <c r="B19" s="2">
        <v>3</v>
      </c>
      <c r="C19" s="2" t="s">
        <v>77</v>
      </c>
      <c r="D19" s="2" t="s">
        <v>78</v>
      </c>
      <c r="E19" s="2" t="s">
        <v>15</v>
      </c>
    </row>
    <row r="20" spans="1:6" x14ac:dyDescent="0.2">
      <c r="A20" s="2" t="s">
        <v>79</v>
      </c>
      <c r="B20" s="2">
        <v>3</v>
      </c>
      <c r="C20" s="2" t="s">
        <v>80</v>
      </c>
      <c r="D20" s="2" t="s">
        <v>81</v>
      </c>
      <c r="E20" s="2" t="s">
        <v>15</v>
      </c>
    </row>
    <row r="21" spans="1:6" ht="15.75" customHeight="1" x14ac:dyDescent="0.2">
      <c r="A21" s="2" t="s">
        <v>82</v>
      </c>
      <c r="B21" s="2" t="s">
        <v>83</v>
      </c>
      <c r="C21" s="2" t="s">
        <v>84</v>
      </c>
      <c r="D21" s="2" t="s">
        <v>85</v>
      </c>
    </row>
    <row r="22" spans="1:6" ht="15.75" customHeight="1" x14ac:dyDescent="0.2">
      <c r="A22" s="2" t="s">
        <v>86</v>
      </c>
      <c r="B22" s="2" t="s">
        <v>87</v>
      </c>
      <c r="C22" s="2" t="s">
        <v>88</v>
      </c>
      <c r="D22" s="2" t="s">
        <v>89</v>
      </c>
    </row>
    <row r="23" spans="1:6" ht="15.75" customHeight="1" x14ac:dyDescent="0.2">
      <c r="A23" s="2" t="s">
        <v>90</v>
      </c>
      <c r="B23" s="2" t="s">
        <v>7</v>
      </c>
      <c r="C23" s="2" t="s">
        <v>91</v>
      </c>
      <c r="D23" s="2" t="s">
        <v>92</v>
      </c>
      <c r="E23" s="2" t="s">
        <v>15</v>
      </c>
    </row>
    <row r="24" spans="1:6" ht="15.75" customHeight="1" x14ac:dyDescent="0.2">
      <c r="A24" s="2" t="s">
        <v>93</v>
      </c>
      <c r="B24" s="2" t="s">
        <v>7</v>
      </c>
      <c r="C24" s="2" t="s">
        <v>94</v>
      </c>
      <c r="D24" s="2" t="s">
        <v>95</v>
      </c>
      <c r="E24" s="2" t="s">
        <v>34</v>
      </c>
      <c r="F24" s="2" t="s">
        <v>96</v>
      </c>
    </row>
    <row r="25" spans="1:6" ht="15.75" customHeight="1" x14ac:dyDescent="0.2">
      <c r="A25" s="2" t="s">
        <v>97</v>
      </c>
      <c r="B25" s="2" t="s">
        <v>7</v>
      </c>
      <c r="C25" s="2" t="s">
        <v>98</v>
      </c>
      <c r="D25" s="2" t="s">
        <v>99</v>
      </c>
      <c r="E25" s="2" t="s">
        <v>34</v>
      </c>
      <c r="F25" s="2" t="s">
        <v>96</v>
      </c>
    </row>
    <row r="26" spans="1:6" ht="15.75" customHeight="1" x14ac:dyDescent="0.2">
      <c r="A26" s="2" t="s">
        <v>100</v>
      </c>
      <c r="B26" s="2">
        <v>3</v>
      </c>
      <c r="C26" s="2" t="s">
        <v>101</v>
      </c>
      <c r="D26" s="2" t="s">
        <v>102</v>
      </c>
      <c r="E26" s="2" t="s">
        <v>34</v>
      </c>
      <c r="F26" s="2" t="s">
        <v>103</v>
      </c>
    </row>
    <row r="27" spans="1:6" ht="15.75" customHeight="1" x14ac:dyDescent="0.2">
      <c r="A27" s="2" t="s">
        <v>104</v>
      </c>
      <c r="B27" s="2">
        <v>3</v>
      </c>
      <c r="C27" s="2" t="s">
        <v>105</v>
      </c>
      <c r="D27" s="2" t="s">
        <v>106</v>
      </c>
      <c r="E27" s="2" t="s">
        <v>34</v>
      </c>
      <c r="F27" s="2" t="s">
        <v>107</v>
      </c>
    </row>
    <row r="28" spans="1:6" ht="15.75" customHeight="1" x14ac:dyDescent="0.2">
      <c r="A28" s="2" t="s">
        <v>108</v>
      </c>
      <c r="B28" s="2">
        <v>3</v>
      </c>
      <c r="C28" s="2" t="s">
        <v>109</v>
      </c>
      <c r="D28" s="2" t="s">
        <v>110</v>
      </c>
      <c r="E28" s="2" t="s">
        <v>34</v>
      </c>
      <c r="F28" s="2" t="s">
        <v>111</v>
      </c>
    </row>
    <row r="29" spans="1:6" ht="15.75" customHeight="1" x14ac:dyDescent="0.2">
      <c r="A29" s="2" t="s">
        <v>112</v>
      </c>
      <c r="B29" s="2">
        <v>3</v>
      </c>
      <c r="C29" s="2" t="s">
        <v>113</v>
      </c>
      <c r="D29" s="2" t="s">
        <v>114</v>
      </c>
      <c r="E29" s="2" t="s">
        <v>34</v>
      </c>
      <c r="F29" s="2" t="s">
        <v>115</v>
      </c>
    </row>
    <row r="30" spans="1:6" ht="15.75" customHeight="1" x14ac:dyDescent="0.2">
      <c r="A30" s="2" t="s">
        <v>116</v>
      </c>
      <c r="B30" s="2">
        <v>3</v>
      </c>
      <c r="C30" s="2" t="s">
        <v>117</v>
      </c>
      <c r="D30" s="2" t="s">
        <v>118</v>
      </c>
      <c r="E30" s="2" t="s">
        <v>34</v>
      </c>
    </row>
    <row r="31" spans="1:6" ht="15.75" customHeight="1" x14ac:dyDescent="0.2">
      <c r="A31" s="2" t="s">
        <v>119</v>
      </c>
      <c r="B31" s="2">
        <v>3</v>
      </c>
      <c r="C31" s="2" t="s">
        <v>120</v>
      </c>
      <c r="D31" s="2" t="s">
        <v>121</v>
      </c>
      <c r="E31" s="2" t="s">
        <v>15</v>
      </c>
    </row>
    <row r="32" spans="1:6" ht="15.75" customHeight="1" x14ac:dyDescent="0.2">
      <c r="A32" s="2" t="s">
        <v>122</v>
      </c>
      <c r="B32" s="2">
        <v>3</v>
      </c>
      <c r="C32" s="2" t="s">
        <v>123</v>
      </c>
      <c r="D32" s="2" t="s">
        <v>124</v>
      </c>
      <c r="E32" s="2" t="s">
        <v>34</v>
      </c>
    </row>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000"/>
  <sheetViews>
    <sheetView workbookViewId="0"/>
  </sheetViews>
  <sheetFormatPr baseColWidth="10" defaultColWidth="14.5" defaultRowHeight="15" customHeight="1" x14ac:dyDescent="0.2"/>
  <cols>
    <col min="1" max="3" width="8.83203125" customWidth="1"/>
    <col min="4" max="4" width="176.6640625" customWidth="1"/>
    <col min="5" max="6" width="8.83203125" customWidth="1"/>
  </cols>
  <sheetData>
    <row r="1" spans="1:5" x14ac:dyDescent="0.2">
      <c r="A1" s="1" t="s">
        <v>125</v>
      </c>
      <c r="B1" s="3" t="s">
        <v>0</v>
      </c>
      <c r="C1" s="3" t="s">
        <v>126</v>
      </c>
      <c r="D1" s="3" t="s">
        <v>3</v>
      </c>
      <c r="E1" s="4"/>
    </row>
    <row r="2" spans="1:5" x14ac:dyDescent="0.2">
      <c r="A2" s="4">
        <v>1</v>
      </c>
      <c r="B2" s="4" t="s">
        <v>6</v>
      </c>
      <c r="C2" s="4" t="s">
        <v>127</v>
      </c>
      <c r="D2" s="4" t="s">
        <v>128</v>
      </c>
      <c r="E2" s="4"/>
    </row>
    <row r="3" spans="1:5" x14ac:dyDescent="0.2">
      <c r="A3" s="4">
        <v>2</v>
      </c>
      <c r="B3" s="4" t="s">
        <v>12</v>
      </c>
      <c r="C3" s="4" t="s">
        <v>127</v>
      </c>
      <c r="D3" s="4" t="s">
        <v>129</v>
      </c>
      <c r="E3" s="4"/>
    </row>
    <row r="4" spans="1:5" x14ac:dyDescent="0.2">
      <c r="A4" s="4">
        <v>3</v>
      </c>
      <c r="B4" s="4" t="s">
        <v>16</v>
      </c>
      <c r="C4" s="4" t="s">
        <v>127</v>
      </c>
      <c r="D4" s="4" t="s">
        <v>130</v>
      </c>
      <c r="E4" s="4"/>
    </row>
    <row r="5" spans="1:5" x14ac:dyDescent="0.2">
      <c r="A5" s="4">
        <v>4</v>
      </c>
      <c r="B5" s="4" t="s">
        <v>20</v>
      </c>
      <c r="C5" s="4" t="s">
        <v>127</v>
      </c>
      <c r="D5" s="4" t="s">
        <v>131</v>
      </c>
      <c r="E5" s="4"/>
    </row>
    <row r="6" spans="1:5" x14ac:dyDescent="0.2">
      <c r="A6" s="4">
        <v>5</v>
      </c>
      <c r="B6" s="4" t="s">
        <v>24</v>
      </c>
      <c r="C6" s="4" t="s">
        <v>127</v>
      </c>
      <c r="D6" s="4" t="s">
        <v>132</v>
      </c>
      <c r="E6" s="4"/>
    </row>
    <row r="7" spans="1:5" x14ac:dyDescent="0.2">
      <c r="A7" s="4">
        <v>6</v>
      </c>
      <c r="B7" s="4" t="s">
        <v>28</v>
      </c>
      <c r="C7" s="4" t="s">
        <v>127</v>
      </c>
      <c r="D7" s="4" t="s">
        <v>133</v>
      </c>
      <c r="E7" s="4"/>
    </row>
    <row r="8" spans="1:5" x14ac:dyDescent="0.2">
      <c r="A8" s="4">
        <v>7</v>
      </c>
      <c r="B8" s="4" t="s">
        <v>28</v>
      </c>
      <c r="C8" s="4" t="s">
        <v>127</v>
      </c>
      <c r="D8" s="4" t="s">
        <v>134</v>
      </c>
      <c r="E8" s="4"/>
    </row>
    <row r="9" spans="1:5" x14ac:dyDescent="0.2">
      <c r="A9" s="4">
        <v>8</v>
      </c>
      <c r="B9" s="4" t="s">
        <v>31</v>
      </c>
      <c r="C9" s="4" t="s">
        <v>127</v>
      </c>
      <c r="D9" s="4" t="s">
        <v>135</v>
      </c>
      <c r="E9" s="4"/>
    </row>
    <row r="10" spans="1:5" x14ac:dyDescent="0.2">
      <c r="A10" s="4">
        <v>9</v>
      </c>
      <c r="B10" s="4" t="s">
        <v>36</v>
      </c>
      <c r="C10" s="4" t="s">
        <v>127</v>
      </c>
      <c r="D10" s="4" t="s">
        <v>136</v>
      </c>
      <c r="E10" s="4"/>
    </row>
    <row r="11" spans="1:5" x14ac:dyDescent="0.2">
      <c r="A11" s="4">
        <v>10</v>
      </c>
      <c r="B11" s="4" t="s">
        <v>39</v>
      </c>
      <c r="C11" s="4" t="s">
        <v>127</v>
      </c>
      <c r="D11" s="4" t="s">
        <v>137</v>
      </c>
      <c r="E11" s="4"/>
    </row>
    <row r="12" spans="1:5" x14ac:dyDescent="0.2">
      <c r="A12" s="4">
        <v>11</v>
      </c>
      <c r="B12" s="4" t="s">
        <v>39</v>
      </c>
      <c r="C12" s="4" t="s">
        <v>127</v>
      </c>
      <c r="D12" s="4" t="s">
        <v>138</v>
      </c>
      <c r="E12" s="4"/>
    </row>
    <row r="13" spans="1:5" x14ac:dyDescent="0.2">
      <c r="A13" s="4">
        <v>12</v>
      </c>
      <c r="B13" s="4" t="s">
        <v>39</v>
      </c>
      <c r="C13" s="4" t="s">
        <v>127</v>
      </c>
      <c r="D13" s="4" t="s">
        <v>139</v>
      </c>
      <c r="E13" s="4"/>
    </row>
    <row r="14" spans="1:5" x14ac:dyDescent="0.2">
      <c r="A14" s="4">
        <v>13</v>
      </c>
      <c r="B14" s="4" t="s">
        <v>43</v>
      </c>
      <c r="C14" s="4" t="s">
        <v>140</v>
      </c>
      <c r="D14" s="4" t="s">
        <v>141</v>
      </c>
      <c r="E14" s="4"/>
    </row>
    <row r="15" spans="1:5" x14ac:dyDescent="0.2">
      <c r="A15" s="4">
        <v>14</v>
      </c>
      <c r="B15" s="4" t="s">
        <v>53</v>
      </c>
      <c r="C15" s="4" t="s">
        <v>127</v>
      </c>
      <c r="D15" s="4" t="s">
        <v>142</v>
      </c>
      <c r="E15" s="4"/>
    </row>
    <row r="16" spans="1:5" x14ac:dyDescent="0.2">
      <c r="A16" s="4">
        <v>15</v>
      </c>
      <c r="B16" s="4" t="s">
        <v>59</v>
      </c>
      <c r="C16" s="4" t="s">
        <v>127</v>
      </c>
      <c r="D16" s="4" t="s">
        <v>143</v>
      </c>
      <c r="E16" s="4"/>
    </row>
    <row r="17" spans="1:5" x14ac:dyDescent="0.2">
      <c r="A17" s="4">
        <v>16</v>
      </c>
      <c r="B17" s="4" t="s">
        <v>63</v>
      </c>
      <c r="C17" s="4" t="s">
        <v>127</v>
      </c>
      <c r="D17" s="4" t="s">
        <v>144</v>
      </c>
      <c r="E17" s="4"/>
    </row>
    <row r="18" spans="1:5" x14ac:dyDescent="0.2">
      <c r="A18" s="4">
        <v>17</v>
      </c>
      <c r="B18" s="4" t="s">
        <v>63</v>
      </c>
      <c r="C18" s="4" t="s">
        <v>140</v>
      </c>
      <c r="D18" s="4" t="s">
        <v>139</v>
      </c>
      <c r="E18" s="4"/>
    </row>
    <row r="19" spans="1:5" x14ac:dyDescent="0.2">
      <c r="A19" s="4">
        <v>18</v>
      </c>
      <c r="B19" s="4" t="s">
        <v>66</v>
      </c>
      <c r="C19" s="4" t="s">
        <v>127</v>
      </c>
      <c r="D19" s="4" t="s">
        <v>145</v>
      </c>
      <c r="E19" s="4"/>
    </row>
    <row r="20" spans="1:5" x14ac:dyDescent="0.2">
      <c r="A20" s="4">
        <v>19</v>
      </c>
      <c r="B20" s="4" t="s">
        <v>66</v>
      </c>
      <c r="C20" s="4" t="s">
        <v>127</v>
      </c>
      <c r="D20" s="4" t="s">
        <v>146</v>
      </c>
      <c r="E20" s="4"/>
    </row>
    <row r="21" spans="1:5" ht="15.75" customHeight="1" x14ac:dyDescent="0.2">
      <c r="A21" s="4">
        <v>20</v>
      </c>
      <c r="B21" s="4" t="s">
        <v>66</v>
      </c>
      <c r="C21" s="4" t="s">
        <v>140</v>
      </c>
      <c r="D21" s="4" t="s">
        <v>147</v>
      </c>
      <c r="E21" s="4"/>
    </row>
    <row r="22" spans="1:5" ht="15.75" customHeight="1" x14ac:dyDescent="0.2">
      <c r="A22" s="4">
        <v>21</v>
      </c>
      <c r="B22" s="4" t="s">
        <v>70</v>
      </c>
      <c r="C22" s="4" t="s">
        <v>127</v>
      </c>
      <c r="D22" s="4" t="s">
        <v>148</v>
      </c>
      <c r="E22" s="4"/>
    </row>
    <row r="23" spans="1:5" ht="15.75" customHeight="1" x14ac:dyDescent="0.2">
      <c r="A23" s="4">
        <v>22</v>
      </c>
      <c r="B23" s="4" t="s">
        <v>70</v>
      </c>
      <c r="C23" s="4" t="s">
        <v>127</v>
      </c>
      <c r="D23" s="4" t="s">
        <v>149</v>
      </c>
      <c r="E23" s="4"/>
    </row>
    <row r="24" spans="1:5" ht="15.75" customHeight="1" x14ac:dyDescent="0.2">
      <c r="A24" s="4">
        <v>23</v>
      </c>
      <c r="B24" s="4" t="s">
        <v>73</v>
      </c>
      <c r="C24" s="4" t="s">
        <v>127</v>
      </c>
      <c r="D24" s="4" t="s">
        <v>150</v>
      </c>
      <c r="E24" s="4"/>
    </row>
    <row r="25" spans="1:5" ht="15.75" customHeight="1" x14ac:dyDescent="0.2">
      <c r="A25" s="4">
        <v>24</v>
      </c>
      <c r="B25" s="4" t="s">
        <v>76</v>
      </c>
      <c r="C25" s="4" t="s">
        <v>127</v>
      </c>
      <c r="D25" s="4" t="s">
        <v>151</v>
      </c>
      <c r="E25" s="4"/>
    </row>
    <row r="26" spans="1:5" ht="15.75" customHeight="1" x14ac:dyDescent="0.2">
      <c r="A26" s="4">
        <v>25</v>
      </c>
      <c r="B26" s="4" t="s">
        <v>76</v>
      </c>
      <c r="C26" s="4" t="s">
        <v>127</v>
      </c>
      <c r="D26" s="4" t="s">
        <v>152</v>
      </c>
      <c r="E26" s="4"/>
    </row>
    <row r="27" spans="1:5" ht="15.75" customHeight="1" x14ac:dyDescent="0.2">
      <c r="A27" s="4">
        <v>26</v>
      </c>
      <c r="B27" s="4" t="s">
        <v>76</v>
      </c>
      <c r="C27" s="4" t="s">
        <v>140</v>
      </c>
      <c r="D27" s="4" t="s">
        <v>145</v>
      </c>
      <c r="E27" s="4"/>
    </row>
    <row r="28" spans="1:5" ht="15.75" customHeight="1" x14ac:dyDescent="0.2">
      <c r="A28" s="4">
        <v>27</v>
      </c>
      <c r="B28" s="4" t="s">
        <v>79</v>
      </c>
      <c r="C28" s="4" t="s">
        <v>127</v>
      </c>
      <c r="D28" s="4" t="s">
        <v>141</v>
      </c>
      <c r="E28" s="4"/>
    </row>
    <row r="29" spans="1:5" ht="15.75" customHeight="1" x14ac:dyDescent="0.2">
      <c r="A29" s="4">
        <v>28</v>
      </c>
      <c r="B29" s="4" t="s">
        <v>82</v>
      </c>
      <c r="C29" s="4" t="s">
        <v>127</v>
      </c>
      <c r="D29" s="4" t="s">
        <v>145</v>
      </c>
      <c r="E29" s="4"/>
    </row>
    <row r="30" spans="1:5" ht="15.75" customHeight="1" x14ac:dyDescent="0.2">
      <c r="A30" s="4">
        <v>29</v>
      </c>
      <c r="B30" s="4" t="s">
        <v>86</v>
      </c>
      <c r="C30" s="4" t="s">
        <v>127</v>
      </c>
      <c r="D30" s="4" t="s">
        <v>153</v>
      </c>
      <c r="E30" s="4"/>
    </row>
    <row r="31" spans="1:5" ht="15.75" customHeight="1" x14ac:dyDescent="0.2">
      <c r="A31" s="4">
        <v>30</v>
      </c>
      <c r="B31" s="4" t="s">
        <v>90</v>
      </c>
      <c r="C31" s="4" t="s">
        <v>127</v>
      </c>
      <c r="D31" s="4" t="s">
        <v>141</v>
      </c>
      <c r="E31" s="4"/>
    </row>
    <row r="32" spans="1:5" ht="15.75" customHeight="1" x14ac:dyDescent="0.2">
      <c r="A32" s="4">
        <v>31</v>
      </c>
      <c r="B32" s="4" t="s">
        <v>93</v>
      </c>
      <c r="C32" s="4" t="s">
        <v>127</v>
      </c>
      <c r="D32" s="4" t="s">
        <v>154</v>
      </c>
      <c r="E32" s="4"/>
    </row>
    <row r="33" spans="1:5" ht="15.75" customHeight="1" x14ac:dyDescent="0.2">
      <c r="A33" s="4">
        <v>32</v>
      </c>
      <c r="B33" s="4" t="s">
        <v>93</v>
      </c>
      <c r="C33" s="4" t="s">
        <v>127</v>
      </c>
      <c r="D33" s="4" t="s">
        <v>145</v>
      </c>
      <c r="E33" s="4"/>
    </row>
    <row r="34" spans="1:5" ht="15.75" customHeight="1" x14ac:dyDescent="0.2">
      <c r="A34" s="4">
        <v>33</v>
      </c>
      <c r="B34" s="4" t="s">
        <v>93</v>
      </c>
      <c r="C34" s="4" t="s">
        <v>127</v>
      </c>
      <c r="D34" s="4" t="s">
        <v>137</v>
      </c>
      <c r="E34" s="4"/>
    </row>
    <row r="35" spans="1:5" ht="15.75" customHeight="1" x14ac:dyDescent="0.2">
      <c r="A35" s="4">
        <v>34</v>
      </c>
      <c r="B35" s="4" t="s">
        <v>97</v>
      </c>
      <c r="C35" s="4" t="s">
        <v>127</v>
      </c>
      <c r="D35" s="4" t="s">
        <v>155</v>
      </c>
      <c r="E35" s="4"/>
    </row>
    <row r="36" spans="1:5" ht="15.75" customHeight="1" x14ac:dyDescent="0.2">
      <c r="A36" s="4">
        <v>35</v>
      </c>
      <c r="B36" s="4" t="s">
        <v>100</v>
      </c>
      <c r="C36" s="4" t="s">
        <v>127</v>
      </c>
      <c r="D36" s="4" t="s">
        <v>156</v>
      </c>
      <c r="E36" s="4"/>
    </row>
    <row r="37" spans="1:5" ht="15.75" customHeight="1" x14ac:dyDescent="0.2">
      <c r="A37" s="4">
        <v>36</v>
      </c>
      <c r="B37" s="4" t="s">
        <v>104</v>
      </c>
      <c r="C37" s="4" t="s">
        <v>127</v>
      </c>
      <c r="D37" s="4" t="s">
        <v>157</v>
      </c>
      <c r="E37" s="4"/>
    </row>
    <row r="38" spans="1:5" ht="15.75" customHeight="1" x14ac:dyDescent="0.2">
      <c r="A38" s="4">
        <v>37</v>
      </c>
      <c r="B38" s="4" t="s">
        <v>108</v>
      </c>
      <c r="C38" s="4" t="s">
        <v>127</v>
      </c>
      <c r="D38" s="4" t="s">
        <v>158</v>
      </c>
      <c r="E38" s="4"/>
    </row>
    <row r="39" spans="1:5" ht="15.75" customHeight="1" x14ac:dyDescent="0.2">
      <c r="A39" s="4">
        <v>38</v>
      </c>
      <c r="B39" s="4" t="s">
        <v>112</v>
      </c>
      <c r="C39" s="4" t="s">
        <v>127</v>
      </c>
      <c r="D39" s="4" t="s">
        <v>159</v>
      </c>
      <c r="E39" s="4"/>
    </row>
    <row r="40" spans="1:5" ht="15.75" customHeight="1" x14ac:dyDescent="0.2">
      <c r="A40" s="4">
        <v>39</v>
      </c>
      <c r="B40" s="4" t="s">
        <v>116</v>
      </c>
      <c r="C40" s="4" t="s">
        <v>127</v>
      </c>
      <c r="D40" s="4" t="s">
        <v>160</v>
      </c>
      <c r="E40" s="4"/>
    </row>
    <row r="41" spans="1:5" ht="15.75" customHeight="1" x14ac:dyDescent="0.2">
      <c r="A41" s="4">
        <v>40</v>
      </c>
      <c r="B41" s="4" t="s">
        <v>119</v>
      </c>
      <c r="C41" s="4" t="s">
        <v>127</v>
      </c>
      <c r="D41" s="4" t="s">
        <v>161</v>
      </c>
      <c r="E41" s="4"/>
    </row>
    <row r="42" spans="1:5" ht="15.75" customHeight="1" x14ac:dyDescent="0.2">
      <c r="A42" s="4">
        <v>41</v>
      </c>
      <c r="B42" s="4" t="s">
        <v>122</v>
      </c>
      <c r="C42" s="4" t="s">
        <v>127</v>
      </c>
      <c r="D42" s="4" t="s">
        <v>129</v>
      </c>
      <c r="E42" s="4"/>
    </row>
    <row r="43" spans="1:5" ht="15.75" customHeight="1" x14ac:dyDescent="0.2">
      <c r="A43" s="4"/>
      <c r="B43" s="4"/>
      <c r="C43" s="4"/>
      <c r="D43" s="4"/>
      <c r="E43" s="4"/>
    </row>
    <row r="44" spans="1:5" ht="15.75" customHeight="1" x14ac:dyDescent="0.2">
      <c r="A44" s="4"/>
      <c r="B44" s="4"/>
      <c r="C44" s="4"/>
      <c r="D44" s="4"/>
      <c r="E44" s="4"/>
    </row>
    <row r="45" spans="1:5" ht="15.75" customHeight="1" x14ac:dyDescent="0.2">
      <c r="A45" s="4"/>
      <c r="B45" s="4"/>
      <c r="C45" s="4"/>
      <c r="D45" s="4"/>
      <c r="E45" s="4"/>
    </row>
    <row r="46" spans="1:5" ht="15.75" customHeight="1" x14ac:dyDescent="0.2">
      <c r="A46" s="4"/>
      <c r="B46" s="4"/>
      <c r="C46" s="4"/>
      <c r="D46" s="4"/>
      <c r="E46" s="4"/>
    </row>
    <row r="47" spans="1:5" ht="15.75" customHeight="1" x14ac:dyDescent="0.2">
      <c r="A47" s="4"/>
      <c r="B47" s="4"/>
      <c r="C47" s="4"/>
      <c r="D47" s="4"/>
      <c r="E47" s="4" t="s">
        <v>162</v>
      </c>
    </row>
    <row r="48" spans="1: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1000"/>
  <sheetViews>
    <sheetView workbookViewId="0"/>
  </sheetViews>
  <sheetFormatPr baseColWidth="10" defaultColWidth="14.5" defaultRowHeight="15" customHeight="1" x14ac:dyDescent="0.2"/>
  <cols>
    <col min="1" max="1" width="12.6640625" customWidth="1"/>
    <col min="2" max="2" width="14.5" customWidth="1"/>
    <col min="3" max="3" width="15.5" customWidth="1"/>
    <col min="4" max="4" width="9.83203125" customWidth="1"/>
    <col min="5" max="26" width="8.83203125" customWidth="1"/>
  </cols>
  <sheetData>
    <row r="1" spans="1:4" x14ac:dyDescent="0.2">
      <c r="A1" s="1" t="s">
        <v>125</v>
      </c>
      <c r="B1" s="1" t="s">
        <v>0</v>
      </c>
      <c r="C1" s="1" t="s">
        <v>163</v>
      </c>
      <c r="D1" s="1" t="s">
        <v>164</v>
      </c>
    </row>
    <row r="2" spans="1:4" x14ac:dyDescent="0.2">
      <c r="A2" s="2">
        <v>1</v>
      </c>
      <c r="B2" s="2" t="s">
        <v>6</v>
      </c>
      <c r="C2" s="2" t="s">
        <v>100</v>
      </c>
      <c r="D2" s="2">
        <v>1</v>
      </c>
    </row>
    <row r="3" spans="1:4" x14ac:dyDescent="0.2">
      <c r="A3" s="2">
        <v>2</v>
      </c>
      <c r="B3" s="2" t="s">
        <v>12</v>
      </c>
      <c r="C3" s="2" t="s">
        <v>119</v>
      </c>
      <c r="D3" s="2">
        <v>1</v>
      </c>
    </row>
    <row r="4" spans="1:4" x14ac:dyDescent="0.2">
      <c r="A4" s="2">
        <v>4</v>
      </c>
      <c r="B4" s="2" t="s">
        <v>20</v>
      </c>
      <c r="C4" s="2" t="s">
        <v>104</v>
      </c>
      <c r="D4" s="2">
        <v>1</v>
      </c>
    </row>
    <row r="5" spans="1:4" x14ac:dyDescent="0.2">
      <c r="A5" s="2">
        <v>5</v>
      </c>
      <c r="B5" s="2" t="s">
        <v>24</v>
      </c>
      <c r="C5" s="2" t="s">
        <v>6</v>
      </c>
      <c r="D5" s="2">
        <v>1</v>
      </c>
    </row>
    <row r="6" spans="1:4" x14ac:dyDescent="0.2">
      <c r="A6" s="2">
        <v>5</v>
      </c>
      <c r="B6" s="2" t="s">
        <v>24</v>
      </c>
      <c r="C6" s="2" t="s">
        <v>16</v>
      </c>
      <c r="D6" s="2">
        <v>0</v>
      </c>
    </row>
    <row r="7" spans="1:4" x14ac:dyDescent="0.2">
      <c r="A7" s="2">
        <v>5</v>
      </c>
      <c r="B7" s="2" t="s">
        <v>24</v>
      </c>
      <c r="C7" s="2" t="s">
        <v>20</v>
      </c>
      <c r="D7" s="2">
        <v>0</v>
      </c>
    </row>
    <row r="8" spans="1:4" x14ac:dyDescent="0.2">
      <c r="A8" s="2">
        <v>6</v>
      </c>
      <c r="B8" s="2" t="s">
        <v>28</v>
      </c>
      <c r="C8" s="2" t="s">
        <v>12</v>
      </c>
      <c r="D8" s="2">
        <v>1</v>
      </c>
    </row>
    <row r="9" spans="1:4" x14ac:dyDescent="0.2">
      <c r="A9" s="2">
        <v>7</v>
      </c>
      <c r="B9" s="2" t="s">
        <v>28</v>
      </c>
      <c r="C9" s="2" t="s">
        <v>100</v>
      </c>
      <c r="D9" s="2">
        <v>1</v>
      </c>
    </row>
    <row r="10" spans="1:4" x14ac:dyDescent="0.2">
      <c r="A10" s="2">
        <v>8</v>
      </c>
      <c r="B10" s="2" t="s">
        <v>31</v>
      </c>
      <c r="C10" s="2" t="s">
        <v>108</v>
      </c>
      <c r="D10" s="2">
        <v>1</v>
      </c>
    </row>
    <row r="11" spans="1:4" x14ac:dyDescent="0.2">
      <c r="A11" s="2">
        <v>9</v>
      </c>
      <c r="B11" s="2" t="s">
        <v>36</v>
      </c>
      <c r="C11" s="2" t="s">
        <v>6</v>
      </c>
      <c r="D11" s="2">
        <v>1</v>
      </c>
    </row>
    <row r="12" spans="1:4" x14ac:dyDescent="0.2">
      <c r="A12" s="2">
        <v>9</v>
      </c>
      <c r="B12" s="2" t="s">
        <v>36</v>
      </c>
      <c r="C12" s="2" t="s">
        <v>16</v>
      </c>
      <c r="D12" s="2">
        <v>0</v>
      </c>
    </row>
    <row r="13" spans="1:4" x14ac:dyDescent="0.2">
      <c r="A13" s="2">
        <v>9</v>
      </c>
      <c r="B13" s="2" t="s">
        <v>36</v>
      </c>
      <c r="C13" s="2" t="s">
        <v>20</v>
      </c>
      <c r="D13" s="2">
        <v>0</v>
      </c>
    </row>
    <row r="14" spans="1:4" x14ac:dyDescent="0.2">
      <c r="A14" s="2">
        <v>9</v>
      </c>
      <c r="B14" s="2" t="s">
        <v>36</v>
      </c>
      <c r="C14" s="2" t="s">
        <v>31</v>
      </c>
      <c r="D14" s="2">
        <v>1</v>
      </c>
    </row>
    <row r="15" spans="1:4" x14ac:dyDescent="0.2">
      <c r="A15" s="2">
        <v>9</v>
      </c>
      <c r="B15" s="2" t="s">
        <v>36</v>
      </c>
      <c r="C15" s="2" t="s">
        <v>12</v>
      </c>
      <c r="D15" s="2">
        <v>1</v>
      </c>
    </row>
    <row r="16" spans="1:4" x14ac:dyDescent="0.2">
      <c r="A16" s="2">
        <v>9</v>
      </c>
      <c r="B16" s="2" t="s">
        <v>36</v>
      </c>
      <c r="C16" s="2" t="s">
        <v>122</v>
      </c>
      <c r="D16" s="2">
        <v>1</v>
      </c>
    </row>
    <row r="17" spans="1:4" x14ac:dyDescent="0.2">
      <c r="A17" s="2">
        <v>10</v>
      </c>
      <c r="B17" s="2" t="s">
        <v>39</v>
      </c>
      <c r="C17" s="2" t="s">
        <v>112</v>
      </c>
      <c r="D17" s="2">
        <v>1</v>
      </c>
    </row>
    <row r="18" spans="1:4" x14ac:dyDescent="0.2">
      <c r="A18" s="2">
        <v>11</v>
      </c>
      <c r="B18" s="2" t="s">
        <v>39</v>
      </c>
      <c r="C18" s="2" t="s">
        <v>6</v>
      </c>
      <c r="D18" s="2">
        <v>1</v>
      </c>
    </row>
    <row r="19" spans="1:4" x14ac:dyDescent="0.2">
      <c r="A19" s="2">
        <v>11</v>
      </c>
      <c r="B19" s="2" t="s">
        <v>39</v>
      </c>
      <c r="C19" s="2" t="s">
        <v>20</v>
      </c>
      <c r="D19" s="2">
        <v>0</v>
      </c>
    </row>
    <row r="20" spans="1:4" x14ac:dyDescent="0.2">
      <c r="A20" s="2">
        <v>11</v>
      </c>
      <c r="B20" s="2" t="s">
        <v>39</v>
      </c>
      <c r="C20" s="2" t="s">
        <v>24</v>
      </c>
      <c r="D20" s="2">
        <v>0</v>
      </c>
    </row>
    <row r="21" spans="1:4" ht="15.75" customHeight="1" x14ac:dyDescent="0.2">
      <c r="A21" s="2">
        <v>12</v>
      </c>
      <c r="B21" s="2" t="s">
        <v>39</v>
      </c>
      <c r="C21" s="2" t="s">
        <v>31</v>
      </c>
      <c r="D21" s="2">
        <v>1</v>
      </c>
    </row>
    <row r="22" spans="1:4" ht="15.75" customHeight="1" x14ac:dyDescent="0.2">
      <c r="A22" s="2">
        <v>13</v>
      </c>
      <c r="B22" s="2" t="s">
        <v>43</v>
      </c>
      <c r="C22" s="2" t="s">
        <v>39</v>
      </c>
      <c r="D22" s="2">
        <v>1</v>
      </c>
    </row>
    <row r="23" spans="1:4" ht="15.75" customHeight="1" x14ac:dyDescent="0.2">
      <c r="A23" s="2">
        <v>14</v>
      </c>
      <c r="B23" s="2" t="s">
        <v>53</v>
      </c>
      <c r="C23" s="2" t="s">
        <v>36</v>
      </c>
      <c r="D23" s="2">
        <v>1</v>
      </c>
    </row>
    <row r="24" spans="1:4" ht="15.75" customHeight="1" x14ac:dyDescent="0.2">
      <c r="A24" s="2">
        <v>15</v>
      </c>
      <c r="B24" s="2" t="s">
        <v>59</v>
      </c>
      <c r="C24" s="2" t="s">
        <v>6</v>
      </c>
      <c r="D24" s="2">
        <v>1</v>
      </c>
    </row>
    <row r="25" spans="1:4" ht="15.75" customHeight="1" x14ac:dyDescent="0.2">
      <c r="A25" s="2">
        <v>15</v>
      </c>
      <c r="B25" s="2" t="s">
        <v>59</v>
      </c>
      <c r="C25" s="2" t="s">
        <v>20</v>
      </c>
      <c r="D25" s="2">
        <v>0</v>
      </c>
    </row>
    <row r="26" spans="1:4" ht="15.75" customHeight="1" x14ac:dyDescent="0.2">
      <c r="A26" s="2">
        <v>16</v>
      </c>
      <c r="B26" s="2" t="s">
        <v>63</v>
      </c>
      <c r="C26" s="2" t="s">
        <v>6</v>
      </c>
      <c r="D26" s="2">
        <v>1</v>
      </c>
    </row>
    <row r="27" spans="1:4" ht="15.75" customHeight="1" x14ac:dyDescent="0.2">
      <c r="A27" s="2">
        <v>16</v>
      </c>
      <c r="B27" s="2" t="s">
        <v>63</v>
      </c>
      <c r="C27" s="2" t="s">
        <v>20</v>
      </c>
      <c r="D27" s="2">
        <v>0</v>
      </c>
    </row>
    <row r="28" spans="1:4" ht="15.75" customHeight="1" x14ac:dyDescent="0.2">
      <c r="A28" s="2">
        <v>17</v>
      </c>
      <c r="B28" s="2" t="s">
        <v>63</v>
      </c>
      <c r="C28" s="2" t="s">
        <v>31</v>
      </c>
      <c r="D28" s="2">
        <v>1</v>
      </c>
    </row>
    <row r="29" spans="1:4" ht="15.75" customHeight="1" x14ac:dyDescent="0.2">
      <c r="A29" s="2">
        <v>18</v>
      </c>
      <c r="B29" s="2" t="s">
        <v>66</v>
      </c>
      <c r="C29" s="2" t="s">
        <v>36</v>
      </c>
      <c r="D29" s="2">
        <v>1</v>
      </c>
    </row>
    <row r="30" spans="1:4" ht="15.75" customHeight="1" x14ac:dyDescent="0.2">
      <c r="A30" s="2">
        <v>19</v>
      </c>
      <c r="B30" s="2" t="s">
        <v>66</v>
      </c>
      <c r="C30" s="2" t="s">
        <v>112</v>
      </c>
      <c r="D30" s="2">
        <v>1</v>
      </c>
    </row>
    <row r="31" spans="1:4" ht="15.75" customHeight="1" x14ac:dyDescent="0.2">
      <c r="A31" s="2">
        <v>20</v>
      </c>
      <c r="B31" s="2" t="s">
        <v>66</v>
      </c>
      <c r="C31" s="2" t="s">
        <v>39</v>
      </c>
      <c r="D31" s="2">
        <v>1</v>
      </c>
    </row>
    <row r="32" spans="1:4" ht="15.75" customHeight="1" x14ac:dyDescent="0.2">
      <c r="A32" s="2">
        <v>21</v>
      </c>
      <c r="B32" s="2" t="s">
        <v>70</v>
      </c>
      <c r="C32" s="2" t="s">
        <v>31</v>
      </c>
      <c r="D32" s="2">
        <v>1</v>
      </c>
    </row>
    <row r="33" spans="1:4" ht="15.75" customHeight="1" x14ac:dyDescent="0.2">
      <c r="A33" s="2">
        <v>22</v>
      </c>
      <c r="B33" s="2" t="s">
        <v>70</v>
      </c>
      <c r="C33" s="2" t="s">
        <v>36</v>
      </c>
      <c r="D33" s="2">
        <v>1</v>
      </c>
    </row>
    <row r="34" spans="1:4" ht="15.75" customHeight="1" x14ac:dyDescent="0.2">
      <c r="A34" s="2">
        <v>22</v>
      </c>
      <c r="B34" s="2" t="s">
        <v>70</v>
      </c>
      <c r="C34" s="2" t="s">
        <v>93</v>
      </c>
      <c r="D34" s="2">
        <v>0</v>
      </c>
    </row>
    <row r="35" spans="1:4" ht="15.75" customHeight="1" x14ac:dyDescent="0.2">
      <c r="A35" s="2">
        <v>23</v>
      </c>
      <c r="B35" s="2" t="s">
        <v>73</v>
      </c>
      <c r="C35" s="2" t="s">
        <v>39</v>
      </c>
      <c r="D35" s="2">
        <v>1</v>
      </c>
    </row>
    <row r="36" spans="1:4" ht="15.75" customHeight="1" x14ac:dyDescent="0.2">
      <c r="A36" s="2">
        <v>23</v>
      </c>
      <c r="B36" s="2" t="s">
        <v>73</v>
      </c>
      <c r="C36" s="2" t="s">
        <v>28</v>
      </c>
      <c r="D36" s="2">
        <v>0</v>
      </c>
    </row>
    <row r="37" spans="1:4" ht="15.75" customHeight="1" x14ac:dyDescent="0.2">
      <c r="A37" s="2">
        <v>23</v>
      </c>
      <c r="B37" s="2" t="s">
        <v>73</v>
      </c>
      <c r="C37" s="2" t="s">
        <v>112</v>
      </c>
      <c r="D37" s="2">
        <v>1</v>
      </c>
    </row>
    <row r="38" spans="1:4" ht="15.75" customHeight="1" x14ac:dyDescent="0.2">
      <c r="A38" s="2">
        <v>23</v>
      </c>
      <c r="B38" s="2" t="s">
        <v>73</v>
      </c>
      <c r="C38" s="2" t="s">
        <v>31</v>
      </c>
      <c r="D38" s="2">
        <v>1</v>
      </c>
    </row>
    <row r="39" spans="1:4" ht="15.75" customHeight="1" x14ac:dyDescent="0.2">
      <c r="A39" s="2">
        <v>24</v>
      </c>
      <c r="B39" s="2" t="s">
        <v>76</v>
      </c>
      <c r="C39" s="2" t="s">
        <v>31</v>
      </c>
      <c r="D39" s="2">
        <v>1</v>
      </c>
    </row>
    <row r="40" spans="1:4" ht="15.75" customHeight="1" x14ac:dyDescent="0.2">
      <c r="A40" s="2">
        <v>25</v>
      </c>
      <c r="B40" s="2" t="s">
        <v>76</v>
      </c>
      <c r="C40" s="2" t="s">
        <v>6</v>
      </c>
      <c r="D40" s="2">
        <v>1</v>
      </c>
    </row>
    <row r="41" spans="1:4" ht="15.75" customHeight="1" x14ac:dyDescent="0.2">
      <c r="A41" s="2">
        <v>25</v>
      </c>
      <c r="B41" s="2" t="s">
        <v>76</v>
      </c>
      <c r="C41" s="2" t="s">
        <v>20</v>
      </c>
      <c r="D41" s="2">
        <v>0</v>
      </c>
    </row>
    <row r="42" spans="1:4" ht="15.75" customHeight="1" x14ac:dyDescent="0.2">
      <c r="A42" s="2">
        <v>25</v>
      </c>
      <c r="B42" s="2" t="s">
        <v>76</v>
      </c>
      <c r="C42" s="2" t="s">
        <v>24</v>
      </c>
      <c r="D42" s="2">
        <v>0</v>
      </c>
    </row>
    <row r="43" spans="1:4" ht="15.75" customHeight="1" x14ac:dyDescent="0.2">
      <c r="A43" s="2">
        <v>26</v>
      </c>
      <c r="B43" s="2" t="s">
        <v>76</v>
      </c>
      <c r="C43" s="2" t="s">
        <v>36</v>
      </c>
      <c r="D43" s="2">
        <v>1</v>
      </c>
    </row>
    <row r="44" spans="1:4" ht="15.75" customHeight="1" x14ac:dyDescent="0.2">
      <c r="A44" s="2">
        <v>27</v>
      </c>
      <c r="B44" s="2" t="s">
        <v>79</v>
      </c>
      <c r="C44" s="2" t="s">
        <v>39</v>
      </c>
      <c r="D44" s="2">
        <v>1</v>
      </c>
    </row>
    <row r="45" spans="1:4" ht="15.75" customHeight="1" x14ac:dyDescent="0.2">
      <c r="A45" s="2">
        <v>28</v>
      </c>
      <c r="B45" s="2" t="s">
        <v>82</v>
      </c>
      <c r="C45" s="2" t="s">
        <v>36</v>
      </c>
      <c r="D45" s="2">
        <v>1</v>
      </c>
    </row>
    <row r="46" spans="1:4" ht="15.75" customHeight="1" x14ac:dyDescent="0.2">
      <c r="A46" s="2">
        <v>30</v>
      </c>
      <c r="B46" s="2" t="s">
        <v>90</v>
      </c>
      <c r="C46" s="2" t="s">
        <v>39</v>
      </c>
      <c r="D46" s="2">
        <v>1</v>
      </c>
    </row>
    <row r="47" spans="1:4" ht="15.75" customHeight="1" x14ac:dyDescent="0.2">
      <c r="A47" s="2">
        <v>31</v>
      </c>
      <c r="B47" s="2" t="s">
        <v>93</v>
      </c>
      <c r="C47" s="2" t="s">
        <v>116</v>
      </c>
      <c r="D47" s="2">
        <v>1</v>
      </c>
    </row>
    <row r="48" spans="1:4" ht="15.75" customHeight="1" x14ac:dyDescent="0.2">
      <c r="A48" s="2">
        <v>32</v>
      </c>
      <c r="B48" s="2" t="s">
        <v>93</v>
      </c>
      <c r="C48" s="2" t="s">
        <v>36</v>
      </c>
      <c r="D48" s="2">
        <v>1</v>
      </c>
    </row>
    <row r="49" spans="1:4" ht="15.75" customHeight="1" x14ac:dyDescent="0.2">
      <c r="A49" s="2">
        <v>33</v>
      </c>
      <c r="B49" s="2" t="s">
        <v>93</v>
      </c>
      <c r="C49" s="2" t="s">
        <v>112</v>
      </c>
      <c r="D49" s="2">
        <v>1</v>
      </c>
    </row>
    <row r="50" spans="1:4" ht="15.75" customHeight="1" x14ac:dyDescent="0.2">
      <c r="A50" s="2">
        <v>34</v>
      </c>
      <c r="B50" s="2" t="s">
        <v>97</v>
      </c>
      <c r="C50" s="2" t="s">
        <v>93</v>
      </c>
      <c r="D50" s="2">
        <v>1</v>
      </c>
    </row>
    <row r="51" spans="1:4" ht="15.75" customHeight="1" x14ac:dyDescent="0.2">
      <c r="A51" s="2">
        <v>36</v>
      </c>
      <c r="B51" s="2" t="s">
        <v>104</v>
      </c>
      <c r="C51" s="2" t="s">
        <v>100</v>
      </c>
      <c r="D51" s="2">
        <v>1</v>
      </c>
    </row>
    <row r="52" spans="1:4" ht="15.75" customHeight="1" x14ac:dyDescent="0.2">
      <c r="A52" s="2">
        <v>37</v>
      </c>
      <c r="B52" s="2" t="s">
        <v>108</v>
      </c>
      <c r="C52" s="2" t="s">
        <v>104</v>
      </c>
      <c r="D52" s="2">
        <v>1</v>
      </c>
    </row>
    <row r="53" spans="1:4" ht="15.75" customHeight="1" x14ac:dyDescent="0.2">
      <c r="A53" s="2">
        <v>38</v>
      </c>
      <c r="B53" s="2" t="s">
        <v>112</v>
      </c>
      <c r="C53" s="2" t="s">
        <v>100</v>
      </c>
      <c r="D53" s="2">
        <v>1</v>
      </c>
    </row>
    <row r="54" spans="1:4" ht="15.75" customHeight="1" x14ac:dyDescent="0.2">
      <c r="A54" s="2">
        <v>39</v>
      </c>
      <c r="B54" s="2" t="s">
        <v>116</v>
      </c>
      <c r="C54" s="2" t="s">
        <v>108</v>
      </c>
      <c r="D54" s="2">
        <v>1</v>
      </c>
    </row>
    <row r="55" spans="1:4" ht="15.75" customHeight="1" x14ac:dyDescent="0.2">
      <c r="A55" s="2">
        <v>41</v>
      </c>
      <c r="B55" s="2" t="s">
        <v>122</v>
      </c>
      <c r="C55" s="2" t="s">
        <v>119</v>
      </c>
      <c r="D55" s="2">
        <v>1</v>
      </c>
    </row>
    <row r="56" spans="1:4" ht="15.75" customHeight="1" x14ac:dyDescent="0.2"/>
    <row r="57" spans="1:4" ht="15.75" customHeight="1" x14ac:dyDescent="0.2"/>
    <row r="58" spans="1:4" ht="15.75" customHeight="1" x14ac:dyDescent="0.2"/>
    <row r="59" spans="1:4" ht="15.75" customHeight="1" x14ac:dyDescent="0.2"/>
    <row r="60" spans="1:4" ht="15.75" customHeight="1" x14ac:dyDescent="0.2"/>
    <row r="61" spans="1:4" ht="15.75" customHeight="1" x14ac:dyDescent="0.2"/>
    <row r="62" spans="1:4" ht="15.75" customHeight="1" x14ac:dyDescent="0.2"/>
    <row r="63" spans="1:4" ht="15.75" customHeight="1" x14ac:dyDescent="0.2"/>
    <row r="64" spans="1: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1000"/>
  <sheetViews>
    <sheetView workbookViewId="0"/>
  </sheetViews>
  <sheetFormatPr baseColWidth="10" defaultColWidth="14.5" defaultRowHeight="15" customHeight="1" x14ac:dyDescent="0.2"/>
  <cols>
    <col min="1" max="1" width="12.5" customWidth="1"/>
    <col min="2" max="2" width="175" customWidth="1"/>
    <col min="3" max="6" width="8.83203125" customWidth="1"/>
  </cols>
  <sheetData>
    <row r="1" spans="1:2" x14ac:dyDescent="0.2">
      <c r="A1" s="1" t="s">
        <v>165</v>
      </c>
      <c r="B1" s="1" t="s">
        <v>3</v>
      </c>
    </row>
    <row r="2" spans="1:2" x14ac:dyDescent="0.2">
      <c r="A2" s="5">
        <v>1</v>
      </c>
      <c r="B2" s="5" t="s">
        <v>166</v>
      </c>
    </row>
    <row r="3" spans="1:2" x14ac:dyDescent="0.2">
      <c r="A3" s="5">
        <v>2</v>
      </c>
      <c r="B3" s="5" t="s">
        <v>167</v>
      </c>
    </row>
    <row r="4" spans="1:2" x14ac:dyDescent="0.2">
      <c r="A4" s="5">
        <v>3</v>
      </c>
      <c r="B4" s="5" t="s">
        <v>168</v>
      </c>
    </row>
    <row r="5" spans="1:2" x14ac:dyDescent="0.2">
      <c r="A5" s="5">
        <v>4</v>
      </c>
      <c r="B5" s="5" t="s">
        <v>169</v>
      </c>
    </row>
    <row r="6" spans="1:2" x14ac:dyDescent="0.2">
      <c r="A6" s="5">
        <v>5</v>
      </c>
      <c r="B6" s="5" t="s">
        <v>170</v>
      </c>
    </row>
    <row r="7" spans="1:2" x14ac:dyDescent="0.2">
      <c r="A7" s="5">
        <v>6</v>
      </c>
      <c r="B7" s="5" t="s">
        <v>171</v>
      </c>
    </row>
    <row r="8" spans="1:2" x14ac:dyDescent="0.2">
      <c r="A8" s="5">
        <v>7</v>
      </c>
      <c r="B8" s="5" t="s">
        <v>172</v>
      </c>
    </row>
    <row r="9" spans="1:2" x14ac:dyDescent="0.2">
      <c r="A9" s="5">
        <v>8</v>
      </c>
      <c r="B9" s="5" t="s">
        <v>173</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000"/>
  <sheetViews>
    <sheetView workbookViewId="0"/>
  </sheetViews>
  <sheetFormatPr baseColWidth="10" defaultColWidth="14.5" defaultRowHeight="15" customHeight="1" x14ac:dyDescent="0.2"/>
  <cols>
    <col min="1" max="1" width="11.6640625" customWidth="1"/>
    <col min="2" max="2" width="10.1640625" customWidth="1"/>
    <col min="3" max="6" width="8.83203125" customWidth="1"/>
  </cols>
  <sheetData>
    <row r="1" spans="1:2" x14ac:dyDescent="0.2">
      <c r="A1" s="1" t="s">
        <v>165</v>
      </c>
      <c r="B1" s="1" t="s">
        <v>0</v>
      </c>
    </row>
    <row r="2" spans="1:2" x14ac:dyDescent="0.2">
      <c r="A2" s="5">
        <v>1</v>
      </c>
      <c r="B2" s="5">
        <v>200</v>
      </c>
    </row>
    <row r="3" spans="1:2" x14ac:dyDescent="0.2">
      <c r="A3" s="5">
        <v>1</v>
      </c>
      <c r="B3" s="5">
        <v>203</v>
      </c>
    </row>
    <row r="4" spans="1:2" x14ac:dyDescent="0.2">
      <c r="A4" s="5">
        <v>2</v>
      </c>
      <c r="B4" s="5">
        <v>251</v>
      </c>
    </row>
    <row r="5" spans="1:2" x14ac:dyDescent="0.2">
      <c r="A5" s="5">
        <v>3</v>
      </c>
      <c r="B5" s="5">
        <v>300</v>
      </c>
    </row>
    <row r="6" spans="1:2" x14ac:dyDescent="0.2">
      <c r="A6" s="5">
        <v>4</v>
      </c>
      <c r="B6" s="5">
        <v>302</v>
      </c>
    </row>
    <row r="7" spans="1:2" x14ac:dyDescent="0.2">
      <c r="A7" s="5">
        <v>5</v>
      </c>
      <c r="B7" s="5">
        <v>306</v>
      </c>
    </row>
    <row r="8" spans="1:2" x14ac:dyDescent="0.2">
      <c r="A8" s="5">
        <v>6</v>
      </c>
      <c r="B8" s="5">
        <v>321</v>
      </c>
    </row>
    <row r="9" spans="1:2" x14ac:dyDescent="0.2">
      <c r="A9" s="5">
        <v>7</v>
      </c>
      <c r="B9" s="5">
        <v>335</v>
      </c>
    </row>
    <row r="10" spans="1:2" x14ac:dyDescent="0.2">
      <c r="A10" s="5">
        <v>8</v>
      </c>
      <c r="B10" s="5">
        <v>404</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5" right="0.75" top="1" bottom="1"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1000"/>
  <sheetViews>
    <sheetView workbookViewId="0"/>
  </sheetViews>
  <sheetFormatPr baseColWidth="10" defaultColWidth="14.5" defaultRowHeight="15" customHeight="1" x14ac:dyDescent="0.2"/>
  <cols>
    <col min="1" max="1" width="10.6640625" customWidth="1"/>
    <col min="2" max="2" width="15" customWidth="1"/>
    <col min="3" max="4" width="75.83203125" customWidth="1"/>
    <col min="5" max="6" width="10.6640625" customWidth="1"/>
  </cols>
  <sheetData>
    <row r="1" spans="1:4" x14ac:dyDescent="0.2">
      <c r="A1" s="5" t="s">
        <v>174</v>
      </c>
      <c r="B1" s="5" t="s">
        <v>175</v>
      </c>
      <c r="C1" s="5" t="s">
        <v>176</v>
      </c>
      <c r="D1" s="5" t="s">
        <v>177</v>
      </c>
    </row>
    <row r="2" spans="1:4" ht="16" x14ac:dyDescent="0.2">
      <c r="A2" s="6">
        <v>1</v>
      </c>
      <c r="B2" s="6" t="s">
        <v>178</v>
      </c>
      <c r="C2" s="6" t="s">
        <v>179</v>
      </c>
      <c r="D2" s="6" t="s">
        <v>180</v>
      </c>
    </row>
    <row r="3" spans="1:4" ht="16" x14ac:dyDescent="0.2">
      <c r="A3" s="6">
        <v>2</v>
      </c>
      <c r="B3" s="6" t="s">
        <v>181</v>
      </c>
      <c r="C3" s="6" t="s">
        <v>179</v>
      </c>
      <c r="D3" s="6" t="s">
        <v>180</v>
      </c>
    </row>
    <row r="4" spans="1:4" ht="32" x14ac:dyDescent="0.2">
      <c r="A4" s="6">
        <v>3</v>
      </c>
      <c r="B4" s="6" t="s">
        <v>182</v>
      </c>
      <c r="C4" s="6" t="s">
        <v>179</v>
      </c>
      <c r="D4" s="6" t="s">
        <v>180</v>
      </c>
    </row>
    <row r="5" spans="1:4" ht="16" x14ac:dyDescent="0.2">
      <c r="A5" s="6">
        <v>4</v>
      </c>
      <c r="B5" s="6" t="s">
        <v>183</v>
      </c>
      <c r="C5" s="6" t="s">
        <v>179</v>
      </c>
      <c r="D5" s="6" t="s">
        <v>180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00"/>
  <sheetViews>
    <sheetView tabSelected="1" workbookViewId="0">
      <selection activeCell="B24" sqref="B24"/>
    </sheetView>
  </sheetViews>
  <sheetFormatPr baseColWidth="10" defaultColWidth="14.5" defaultRowHeight="15" customHeight="1" x14ac:dyDescent="0.2"/>
  <cols>
    <col min="1" max="1" width="14.33203125" customWidth="1"/>
    <col min="2" max="6" width="10.6640625" customWidth="1"/>
  </cols>
  <sheetData>
    <row r="1" spans="1:13" x14ac:dyDescent="0.2">
      <c r="A1" s="1" t="s">
        <v>0</v>
      </c>
      <c r="B1" s="5" t="s">
        <v>184</v>
      </c>
      <c r="C1" s="5" t="s">
        <v>185</v>
      </c>
      <c r="D1" s="5" t="s">
        <v>186</v>
      </c>
      <c r="E1" s="5" t="s">
        <v>187</v>
      </c>
      <c r="F1" s="5" t="s">
        <v>188</v>
      </c>
    </row>
    <row r="2" spans="1:13" x14ac:dyDescent="0.2">
      <c r="A2" s="5" t="s">
        <v>6</v>
      </c>
      <c r="B2" s="5">
        <v>2</v>
      </c>
      <c r="C2" s="5">
        <v>16</v>
      </c>
      <c r="D2" s="7">
        <f t="shared" ref="D2:D32" si="0">B2*COS(C2/32*3.14159)</f>
        <v>2.6535897933550656E-6</v>
      </c>
      <c r="E2" s="7">
        <f t="shared" ref="E2:E32" si="1">B2*SIN(C2/32*3.14159)</f>
        <v>1.9999999999982396</v>
      </c>
      <c r="F2" s="5">
        <v>0</v>
      </c>
      <c r="H2" t="s">
        <v>301</v>
      </c>
      <c r="I2">
        <v>0</v>
      </c>
      <c r="J2">
        <v>2</v>
      </c>
      <c r="L2">
        <f>ROUND(SQRT(POWER(I2, 2) + POWER(J2, 2)), 2)</f>
        <v>2</v>
      </c>
      <c r="M2">
        <f>ROUND(16-ATAN((I2/J2))*(32/3.14), 2)</f>
        <v>16</v>
      </c>
    </row>
    <row r="3" spans="1:13" x14ac:dyDescent="0.2">
      <c r="A3" s="5" t="s">
        <v>12</v>
      </c>
      <c r="B3" s="5">
        <v>2</v>
      </c>
      <c r="C3" s="5">
        <v>12</v>
      </c>
      <c r="D3" s="7">
        <f t="shared" si="0"/>
        <v>0.76536870342777408</v>
      </c>
      <c r="E3" s="7">
        <f t="shared" si="1"/>
        <v>1.8477583034080209</v>
      </c>
      <c r="F3" s="5">
        <v>0</v>
      </c>
      <c r="H3" t="s">
        <v>302</v>
      </c>
      <c r="I3">
        <v>3</v>
      </c>
      <c r="J3">
        <v>2</v>
      </c>
      <c r="L3">
        <f t="shared" ref="L3:L32" si="2">ROUND(SQRT(POWER(I3, 2) + POWER(J3, 2)), 2)</f>
        <v>3.61</v>
      </c>
      <c r="M3">
        <f t="shared" ref="M3:M32" si="3">ROUND(16-ATAN((I3/J3))*(32/3.14), 2)</f>
        <v>5.98</v>
      </c>
    </row>
    <row r="4" spans="1:13" x14ac:dyDescent="0.2">
      <c r="A4" s="5" t="s">
        <v>16</v>
      </c>
      <c r="B4" s="5">
        <v>1</v>
      </c>
      <c r="C4" s="5">
        <v>24</v>
      </c>
      <c r="D4" s="7">
        <f t="shared" si="0"/>
        <v>-0.70710537390664396</v>
      </c>
      <c r="E4" s="7">
        <f t="shared" si="1"/>
        <v>0.70710818846365031</v>
      </c>
      <c r="F4" s="5">
        <v>0</v>
      </c>
      <c r="H4" t="s">
        <v>303</v>
      </c>
      <c r="I4">
        <v>3</v>
      </c>
      <c r="J4">
        <v>0</v>
      </c>
      <c r="L4">
        <f t="shared" si="2"/>
        <v>3</v>
      </c>
      <c r="M4">
        <v>0</v>
      </c>
    </row>
    <row r="5" spans="1:13" x14ac:dyDescent="0.2">
      <c r="A5" s="5" t="s">
        <v>20</v>
      </c>
      <c r="B5" s="13">
        <v>3</v>
      </c>
      <c r="C5" s="5">
        <v>24</v>
      </c>
      <c r="D5" s="7">
        <f t="shared" si="0"/>
        <v>-2.1213161217199321</v>
      </c>
      <c r="E5" s="7">
        <f t="shared" si="1"/>
        <v>2.1213245653909509</v>
      </c>
      <c r="F5" s="5">
        <v>0</v>
      </c>
      <c r="H5" t="s">
        <v>304</v>
      </c>
      <c r="I5">
        <v>-6</v>
      </c>
      <c r="J5">
        <v>4</v>
      </c>
      <c r="L5">
        <f t="shared" si="2"/>
        <v>7.21</v>
      </c>
      <c r="M5">
        <f t="shared" si="3"/>
        <v>26.02</v>
      </c>
    </row>
    <row r="6" spans="1:13" x14ac:dyDescent="0.2">
      <c r="A6" s="5" t="s">
        <v>24</v>
      </c>
      <c r="B6" s="13">
        <v>3</v>
      </c>
      <c r="C6" s="5">
        <v>16</v>
      </c>
      <c r="D6" s="7">
        <f t="shared" si="0"/>
        <v>3.9803846900325983E-6</v>
      </c>
      <c r="E6" s="7">
        <f t="shared" si="1"/>
        <v>2.9999999999973594</v>
      </c>
      <c r="F6" s="5">
        <v>0</v>
      </c>
      <c r="H6" t="s">
        <v>305</v>
      </c>
      <c r="I6">
        <v>0</v>
      </c>
      <c r="J6">
        <v>4</v>
      </c>
      <c r="L6">
        <f t="shared" si="2"/>
        <v>4</v>
      </c>
      <c r="M6">
        <f t="shared" si="3"/>
        <v>16</v>
      </c>
    </row>
    <row r="7" spans="1:13" x14ac:dyDescent="0.2">
      <c r="A7" s="5" t="s">
        <v>28</v>
      </c>
      <c r="B7" s="13">
        <v>3</v>
      </c>
      <c r="C7" s="5">
        <v>8</v>
      </c>
      <c r="D7" s="7">
        <f t="shared" si="0"/>
        <v>2.1213217508376787</v>
      </c>
      <c r="E7" s="7">
        <f t="shared" si="1"/>
        <v>2.1213189362806726</v>
      </c>
      <c r="F7" s="5">
        <v>0</v>
      </c>
      <c r="H7" t="s">
        <v>306</v>
      </c>
      <c r="I7">
        <v>6</v>
      </c>
      <c r="J7">
        <v>4</v>
      </c>
      <c r="L7">
        <f t="shared" si="2"/>
        <v>7.21</v>
      </c>
      <c r="M7">
        <f t="shared" si="3"/>
        <v>5.98</v>
      </c>
    </row>
    <row r="8" spans="1:13" x14ac:dyDescent="0.2">
      <c r="A8" s="5" t="s">
        <v>31</v>
      </c>
      <c r="B8" s="13">
        <v>3.5</v>
      </c>
      <c r="C8" s="5">
        <v>14</v>
      </c>
      <c r="D8" s="7">
        <f t="shared" si="0"/>
        <v>0.68282011229000983</v>
      </c>
      <c r="E8" s="7">
        <f t="shared" si="1"/>
        <v>3.4327476886966592</v>
      </c>
      <c r="F8" s="5">
        <v>0</v>
      </c>
      <c r="H8" t="s">
        <v>307</v>
      </c>
      <c r="I8">
        <v>1.5</v>
      </c>
      <c r="J8">
        <v>6</v>
      </c>
      <c r="L8">
        <f t="shared" si="2"/>
        <v>6.18</v>
      </c>
      <c r="M8">
        <f t="shared" si="3"/>
        <v>13.5</v>
      </c>
    </row>
    <row r="9" spans="1:13" x14ac:dyDescent="0.2">
      <c r="A9" s="4" t="s">
        <v>36</v>
      </c>
      <c r="B9" s="4">
        <v>4.5</v>
      </c>
      <c r="C9" s="4">
        <v>14</v>
      </c>
      <c r="D9" s="7">
        <f t="shared" si="0"/>
        <v>0.87791157294429845</v>
      </c>
      <c r="E9" s="7">
        <f t="shared" si="1"/>
        <v>4.4135327426099904</v>
      </c>
      <c r="F9" s="5">
        <v>0</v>
      </c>
      <c r="H9" t="s">
        <v>308</v>
      </c>
      <c r="I9">
        <v>3</v>
      </c>
      <c r="J9">
        <v>8</v>
      </c>
      <c r="L9">
        <f t="shared" si="2"/>
        <v>8.5399999999999991</v>
      </c>
      <c r="M9">
        <f t="shared" si="3"/>
        <v>12.34</v>
      </c>
    </row>
    <row r="10" spans="1:13" x14ac:dyDescent="0.2">
      <c r="A10" s="4" t="s">
        <v>39</v>
      </c>
      <c r="B10" s="4">
        <v>5</v>
      </c>
      <c r="C10" s="4">
        <v>16</v>
      </c>
      <c r="D10" s="7">
        <f t="shared" si="0"/>
        <v>6.6339744833876643E-6</v>
      </c>
      <c r="E10" s="7">
        <f t="shared" si="1"/>
        <v>4.9999999999955991</v>
      </c>
      <c r="F10" s="5">
        <v>0</v>
      </c>
      <c r="H10" t="s">
        <v>309</v>
      </c>
      <c r="I10">
        <v>0</v>
      </c>
      <c r="J10">
        <v>8</v>
      </c>
      <c r="L10">
        <f t="shared" si="2"/>
        <v>8</v>
      </c>
      <c r="M10">
        <f t="shared" si="3"/>
        <v>16</v>
      </c>
    </row>
    <row r="11" spans="1:13" x14ac:dyDescent="0.2">
      <c r="A11" s="4" t="s">
        <v>43</v>
      </c>
      <c r="B11" s="4">
        <v>6</v>
      </c>
      <c r="C11" s="4">
        <v>16</v>
      </c>
      <c r="D11" s="7">
        <f t="shared" si="0"/>
        <v>7.9607693800651965E-6</v>
      </c>
      <c r="E11" s="7">
        <f t="shared" si="1"/>
        <v>5.9999999999947189</v>
      </c>
      <c r="F11" s="5">
        <v>0</v>
      </c>
      <c r="H11" t="s">
        <v>310</v>
      </c>
      <c r="I11">
        <v>-13.5</v>
      </c>
      <c r="J11">
        <v>10</v>
      </c>
      <c r="L11">
        <f t="shared" si="2"/>
        <v>16.8</v>
      </c>
      <c r="M11">
        <f t="shared" si="3"/>
        <v>25.51</v>
      </c>
    </row>
    <row r="12" spans="1:13" ht="16" x14ac:dyDescent="0.2">
      <c r="A12" s="4" t="s">
        <v>48</v>
      </c>
      <c r="B12" s="8">
        <v>6</v>
      </c>
      <c r="C12" s="8">
        <v>12</v>
      </c>
      <c r="D12" s="7">
        <f t="shared" si="0"/>
        <v>2.296106110283322</v>
      </c>
      <c r="E12" s="7">
        <f t="shared" si="1"/>
        <v>5.5432749102240626</v>
      </c>
      <c r="F12" s="5">
        <v>0</v>
      </c>
      <c r="H12" t="s">
        <v>311</v>
      </c>
      <c r="I12">
        <v>-3</v>
      </c>
      <c r="J12">
        <v>0</v>
      </c>
      <c r="L12">
        <f t="shared" si="2"/>
        <v>3</v>
      </c>
      <c r="M12">
        <v>0</v>
      </c>
    </row>
    <row r="13" spans="1:13" x14ac:dyDescent="0.2">
      <c r="A13" s="4" t="s">
        <v>53</v>
      </c>
      <c r="B13" s="4">
        <v>5.5</v>
      </c>
      <c r="C13" s="4">
        <v>13.5</v>
      </c>
      <c r="D13" s="7">
        <f t="shared" si="0"/>
        <v>1.336396962102385</v>
      </c>
      <c r="E13" s="7">
        <f t="shared" si="1"/>
        <v>5.3351703964993957</v>
      </c>
      <c r="F13" s="5">
        <v>0</v>
      </c>
      <c r="H13" t="s">
        <v>312</v>
      </c>
      <c r="I13">
        <v>13.5</v>
      </c>
      <c r="J13">
        <v>10</v>
      </c>
      <c r="L13">
        <f t="shared" si="2"/>
        <v>16.8</v>
      </c>
      <c r="M13">
        <f t="shared" si="3"/>
        <v>6.49</v>
      </c>
    </row>
    <row r="14" spans="1:13" x14ac:dyDescent="0.2">
      <c r="A14" s="4" t="s">
        <v>59</v>
      </c>
      <c r="B14" s="4">
        <v>3</v>
      </c>
      <c r="C14" s="4">
        <v>12</v>
      </c>
      <c r="D14" s="7">
        <f t="shared" si="0"/>
        <v>1.148053055141661</v>
      </c>
      <c r="E14" s="7">
        <f t="shared" si="1"/>
        <v>2.7716374551120313</v>
      </c>
      <c r="F14" s="5">
        <v>0</v>
      </c>
      <c r="H14" t="s">
        <v>313</v>
      </c>
      <c r="I14">
        <v>3</v>
      </c>
      <c r="J14">
        <v>4</v>
      </c>
      <c r="L14">
        <f t="shared" si="2"/>
        <v>5</v>
      </c>
      <c r="M14">
        <f t="shared" si="3"/>
        <v>9.44</v>
      </c>
    </row>
    <row r="15" spans="1:13" x14ac:dyDescent="0.2">
      <c r="A15" s="4" t="s">
        <v>63</v>
      </c>
      <c r="B15" s="4">
        <v>4.5</v>
      </c>
      <c r="C15" s="4">
        <v>18</v>
      </c>
      <c r="D15" s="7">
        <f t="shared" si="0"/>
        <v>-0.87789986123576902</v>
      </c>
      <c r="E15" s="7">
        <f t="shared" si="1"/>
        <v>4.4135350722116415</v>
      </c>
      <c r="F15" s="5">
        <v>0</v>
      </c>
      <c r="H15" t="s">
        <v>314</v>
      </c>
      <c r="I15">
        <v>-3</v>
      </c>
      <c r="J15">
        <v>8</v>
      </c>
      <c r="L15">
        <f t="shared" si="2"/>
        <v>8.5399999999999991</v>
      </c>
      <c r="M15">
        <f t="shared" si="3"/>
        <v>19.66</v>
      </c>
    </row>
    <row r="16" spans="1:13" x14ac:dyDescent="0.2">
      <c r="A16" s="4" t="s">
        <v>66</v>
      </c>
      <c r="B16" s="4">
        <v>7</v>
      </c>
      <c r="C16" s="4">
        <v>16</v>
      </c>
      <c r="D16" s="7">
        <f t="shared" si="0"/>
        <v>9.2875642767427304E-6</v>
      </c>
      <c r="E16" s="7">
        <f t="shared" si="1"/>
        <v>6.9999999999938387</v>
      </c>
      <c r="F16" s="5">
        <v>0</v>
      </c>
      <c r="H16" t="s">
        <v>315</v>
      </c>
      <c r="I16">
        <v>1.5</v>
      </c>
      <c r="J16">
        <v>10</v>
      </c>
      <c r="L16">
        <f t="shared" si="2"/>
        <v>10.11</v>
      </c>
      <c r="M16">
        <f t="shared" si="3"/>
        <v>14.48</v>
      </c>
    </row>
    <row r="17" spans="1:13" x14ac:dyDescent="0.2">
      <c r="A17" s="4" t="s">
        <v>70</v>
      </c>
      <c r="B17" s="4">
        <v>7</v>
      </c>
      <c r="C17" s="4">
        <v>12</v>
      </c>
      <c r="D17" s="7">
        <f t="shared" si="0"/>
        <v>2.6787904619972092</v>
      </c>
      <c r="E17" s="7">
        <f t="shared" si="1"/>
        <v>6.4671540619280732</v>
      </c>
      <c r="F17" s="5">
        <v>0</v>
      </c>
      <c r="H17" t="s">
        <v>316</v>
      </c>
      <c r="I17">
        <v>4.5</v>
      </c>
      <c r="J17">
        <v>10</v>
      </c>
      <c r="L17">
        <f t="shared" si="2"/>
        <v>10.97</v>
      </c>
      <c r="M17">
        <f t="shared" si="3"/>
        <v>11.69</v>
      </c>
    </row>
    <row r="18" spans="1:13" x14ac:dyDescent="0.2">
      <c r="A18" s="4" t="s">
        <v>73</v>
      </c>
      <c r="B18" s="4">
        <v>7</v>
      </c>
      <c r="C18" s="4">
        <v>20</v>
      </c>
      <c r="D18" s="7">
        <f t="shared" si="0"/>
        <v>-2.6787733008137673</v>
      </c>
      <c r="E18" s="7">
        <f t="shared" si="1"/>
        <v>6.4671611703163325</v>
      </c>
      <c r="F18" s="5">
        <v>0</v>
      </c>
      <c r="H18" t="s">
        <v>317</v>
      </c>
      <c r="I18">
        <v>-1.5</v>
      </c>
      <c r="J18">
        <v>10</v>
      </c>
      <c r="L18">
        <f t="shared" si="2"/>
        <v>10.11</v>
      </c>
      <c r="M18">
        <f t="shared" si="3"/>
        <v>17.52</v>
      </c>
    </row>
    <row r="19" spans="1:13" x14ac:dyDescent="0.2">
      <c r="A19" s="4" t="s">
        <v>76</v>
      </c>
      <c r="B19" s="4">
        <v>7.7</v>
      </c>
      <c r="C19" s="4">
        <v>15</v>
      </c>
      <c r="D19" s="7">
        <f t="shared" si="0"/>
        <v>0.75474151221796537</v>
      </c>
      <c r="E19" s="7">
        <f t="shared" si="1"/>
        <v>7.6629214565813566</v>
      </c>
      <c r="F19" s="5">
        <v>0</v>
      </c>
      <c r="H19" t="s">
        <v>318</v>
      </c>
      <c r="I19">
        <v>10.5</v>
      </c>
      <c r="J19">
        <v>10</v>
      </c>
      <c r="L19">
        <f t="shared" si="2"/>
        <v>14.5</v>
      </c>
      <c r="M19">
        <f t="shared" si="3"/>
        <v>7.75</v>
      </c>
    </row>
    <row r="20" spans="1:13" x14ac:dyDescent="0.2">
      <c r="A20" s="4" t="s">
        <v>79</v>
      </c>
      <c r="B20" s="4">
        <v>7.7</v>
      </c>
      <c r="C20" s="4">
        <v>13</v>
      </c>
      <c r="D20" s="7">
        <f t="shared" si="0"/>
        <v>2.235199958190671</v>
      </c>
      <c r="E20" s="7">
        <f t="shared" si="1"/>
        <v>7.3684381755501231</v>
      </c>
      <c r="F20" s="5">
        <v>0</v>
      </c>
      <c r="H20" t="s">
        <v>319</v>
      </c>
      <c r="I20">
        <v>-7.5</v>
      </c>
      <c r="J20">
        <v>10</v>
      </c>
      <c r="L20">
        <f t="shared" si="2"/>
        <v>12.5</v>
      </c>
      <c r="M20">
        <f t="shared" si="3"/>
        <v>22.56</v>
      </c>
    </row>
    <row r="21" spans="1:13" ht="15.75" customHeight="1" x14ac:dyDescent="0.2">
      <c r="A21" s="4" t="s">
        <v>82</v>
      </c>
      <c r="B21" s="4">
        <v>7</v>
      </c>
      <c r="C21" s="4">
        <v>14</v>
      </c>
      <c r="D21" s="7">
        <f t="shared" si="0"/>
        <v>1.3656402245800197</v>
      </c>
      <c r="E21" s="7">
        <f t="shared" si="1"/>
        <v>6.8654953773933185</v>
      </c>
      <c r="F21" s="5">
        <v>0</v>
      </c>
      <c r="H21" t="s">
        <v>320</v>
      </c>
      <c r="I21">
        <v>7.5</v>
      </c>
      <c r="J21">
        <v>10</v>
      </c>
      <c r="L21">
        <f t="shared" si="2"/>
        <v>12.5</v>
      </c>
      <c r="M21">
        <f t="shared" si="3"/>
        <v>9.44</v>
      </c>
    </row>
    <row r="22" spans="1:13" ht="15.75" customHeight="1" x14ac:dyDescent="0.2">
      <c r="A22" s="4" t="s">
        <v>86</v>
      </c>
      <c r="B22" s="4">
        <v>8</v>
      </c>
      <c r="C22" s="4">
        <v>16</v>
      </c>
      <c r="D22" s="7">
        <f t="shared" si="0"/>
        <v>1.0614359173420263E-5</v>
      </c>
      <c r="E22" s="7">
        <f t="shared" si="1"/>
        <v>7.9999999999929585</v>
      </c>
      <c r="F22" s="5">
        <v>0</v>
      </c>
      <c r="H22" t="s">
        <v>321</v>
      </c>
      <c r="I22">
        <v>-6</v>
      </c>
      <c r="J22">
        <v>0</v>
      </c>
      <c r="L22">
        <f t="shared" si="2"/>
        <v>6</v>
      </c>
      <c r="M22">
        <v>0</v>
      </c>
    </row>
    <row r="23" spans="1:13" ht="15.75" customHeight="1" x14ac:dyDescent="0.2">
      <c r="A23" s="4" t="s">
        <v>90</v>
      </c>
      <c r="B23" s="4">
        <v>7.7</v>
      </c>
      <c r="C23" s="4">
        <v>19</v>
      </c>
      <c r="D23" s="7">
        <f t="shared" si="0"/>
        <v>-2.2351804053704658</v>
      </c>
      <c r="E23" s="7">
        <f t="shared" si="1"/>
        <v>7.368444106827976</v>
      </c>
      <c r="F23" s="5">
        <v>0</v>
      </c>
      <c r="H23" t="s">
        <v>322</v>
      </c>
      <c r="I23">
        <v>-4.5</v>
      </c>
      <c r="J23">
        <v>10</v>
      </c>
      <c r="L23">
        <f t="shared" si="2"/>
        <v>10.97</v>
      </c>
      <c r="M23">
        <f t="shared" si="3"/>
        <v>20.309999999999999</v>
      </c>
    </row>
    <row r="24" spans="1:13" ht="15.75" customHeight="1" x14ac:dyDescent="0.2">
      <c r="A24" s="4" t="s">
        <v>93</v>
      </c>
      <c r="B24" s="4">
        <v>8</v>
      </c>
      <c r="C24" s="4">
        <v>17</v>
      </c>
      <c r="D24" s="7">
        <f t="shared" si="0"/>
        <v>-0.78412589918456477</v>
      </c>
      <c r="E24" s="7">
        <f t="shared" si="1"/>
        <v>7.9614789187831176</v>
      </c>
      <c r="F24" s="5">
        <v>0</v>
      </c>
      <c r="H24" t="s">
        <v>323</v>
      </c>
      <c r="I24">
        <v>-10.5</v>
      </c>
      <c r="J24">
        <v>10</v>
      </c>
      <c r="L24">
        <f t="shared" si="2"/>
        <v>14.5</v>
      </c>
      <c r="M24">
        <f t="shared" si="3"/>
        <v>24.25</v>
      </c>
    </row>
    <row r="25" spans="1:13" ht="15.75" customHeight="1" x14ac:dyDescent="0.2">
      <c r="A25" s="4" t="s">
        <v>97</v>
      </c>
      <c r="B25" s="4">
        <v>9</v>
      </c>
      <c r="C25" s="4">
        <v>16</v>
      </c>
      <c r="D25" s="7">
        <f t="shared" si="0"/>
        <v>1.1941154070097795E-5</v>
      </c>
      <c r="E25" s="7">
        <f t="shared" si="1"/>
        <v>8.9999999999920774</v>
      </c>
      <c r="F25" s="5">
        <v>0</v>
      </c>
      <c r="H25" t="s">
        <v>324</v>
      </c>
      <c r="I25">
        <v>0</v>
      </c>
      <c r="J25">
        <v>12</v>
      </c>
      <c r="L25">
        <f t="shared" si="2"/>
        <v>12</v>
      </c>
      <c r="M25">
        <f t="shared" si="3"/>
        <v>16</v>
      </c>
    </row>
    <row r="26" spans="1:13" ht="15.75" customHeight="1" x14ac:dyDescent="0.2">
      <c r="A26" s="4" t="s">
        <v>100</v>
      </c>
      <c r="B26" s="8">
        <v>1</v>
      </c>
      <c r="C26" s="8">
        <v>16</v>
      </c>
      <c r="D26" s="7">
        <f t="shared" si="0"/>
        <v>1.3267948966775328E-6</v>
      </c>
      <c r="E26" s="7">
        <f t="shared" si="1"/>
        <v>0.99999999999911982</v>
      </c>
      <c r="F26" s="5">
        <v>0</v>
      </c>
      <c r="H26" t="s">
        <v>325</v>
      </c>
      <c r="I26">
        <v>0</v>
      </c>
      <c r="J26">
        <v>0</v>
      </c>
      <c r="L26">
        <f t="shared" si="2"/>
        <v>0</v>
      </c>
      <c r="M26">
        <v>0</v>
      </c>
    </row>
    <row r="27" spans="1:13" ht="15.75" customHeight="1" x14ac:dyDescent="0.2">
      <c r="A27" s="4" t="s">
        <v>104</v>
      </c>
      <c r="B27" s="8">
        <v>2</v>
      </c>
      <c r="C27" s="8">
        <v>20</v>
      </c>
      <c r="D27" s="7">
        <f t="shared" si="0"/>
        <v>-0.76536380023250494</v>
      </c>
      <c r="E27" s="7">
        <f t="shared" si="1"/>
        <v>1.8477603343760949</v>
      </c>
      <c r="F27" s="5">
        <v>0</v>
      </c>
      <c r="H27" t="s">
        <v>326</v>
      </c>
      <c r="I27">
        <v>-3</v>
      </c>
      <c r="J27">
        <v>2</v>
      </c>
      <c r="L27">
        <f t="shared" si="2"/>
        <v>3.61</v>
      </c>
      <c r="M27">
        <f t="shared" si="3"/>
        <v>26.02</v>
      </c>
    </row>
    <row r="28" spans="1:13" ht="15.75" customHeight="1" x14ac:dyDescent="0.2">
      <c r="A28" s="4" t="s">
        <v>108</v>
      </c>
      <c r="B28" s="8">
        <v>3</v>
      </c>
      <c r="C28" s="8">
        <v>20</v>
      </c>
      <c r="D28" s="7">
        <f t="shared" si="0"/>
        <v>-1.1480457003487574</v>
      </c>
      <c r="E28" s="7">
        <f t="shared" si="1"/>
        <v>2.7716405015641423</v>
      </c>
      <c r="F28" s="5">
        <v>0</v>
      </c>
      <c r="H28" t="s">
        <v>327</v>
      </c>
      <c r="I28">
        <v>-3</v>
      </c>
      <c r="J28">
        <v>4</v>
      </c>
      <c r="L28">
        <f t="shared" si="2"/>
        <v>5</v>
      </c>
      <c r="M28">
        <f t="shared" si="3"/>
        <v>22.56</v>
      </c>
    </row>
    <row r="29" spans="1:13" ht="15.75" customHeight="1" x14ac:dyDescent="0.2">
      <c r="A29" s="4" t="s">
        <v>112</v>
      </c>
      <c r="B29" s="8">
        <v>2</v>
      </c>
      <c r="C29" s="8">
        <v>24</v>
      </c>
      <c r="D29" s="7">
        <f t="shared" si="0"/>
        <v>-1.4142107478132879</v>
      </c>
      <c r="E29" s="7">
        <f t="shared" si="1"/>
        <v>1.4142163769273006</v>
      </c>
      <c r="F29" s="5">
        <v>0</v>
      </c>
      <c r="H29" t="s">
        <v>328</v>
      </c>
      <c r="I29">
        <v>-6</v>
      </c>
      <c r="J29">
        <v>2</v>
      </c>
      <c r="L29">
        <f t="shared" si="2"/>
        <v>6.32</v>
      </c>
      <c r="M29">
        <f t="shared" si="3"/>
        <v>28.73</v>
      </c>
    </row>
    <row r="30" spans="1:13" ht="15.75" customHeight="1" x14ac:dyDescent="0.2">
      <c r="A30" s="4" t="s">
        <v>116</v>
      </c>
      <c r="B30" s="8">
        <v>3.5</v>
      </c>
      <c r="C30" s="8">
        <v>18</v>
      </c>
      <c r="D30" s="7">
        <f t="shared" si="0"/>
        <v>-0.68281100318337595</v>
      </c>
      <c r="E30" s="7">
        <f t="shared" si="1"/>
        <v>3.4327495006090545</v>
      </c>
      <c r="F30" s="5">
        <v>0</v>
      </c>
      <c r="H30" t="s">
        <v>329</v>
      </c>
      <c r="I30">
        <v>-1.5</v>
      </c>
      <c r="J30">
        <v>6</v>
      </c>
      <c r="L30">
        <f t="shared" si="2"/>
        <v>6.18</v>
      </c>
      <c r="M30">
        <f t="shared" si="3"/>
        <v>18.5</v>
      </c>
    </row>
    <row r="31" spans="1:13" ht="15.75" customHeight="1" x14ac:dyDescent="0.2">
      <c r="A31" s="4" t="s">
        <v>119</v>
      </c>
      <c r="B31" s="8">
        <v>1</v>
      </c>
      <c r="C31" s="8">
        <v>8</v>
      </c>
      <c r="D31" s="7">
        <f t="shared" si="0"/>
        <v>0.70710725027922627</v>
      </c>
      <c r="E31" s="7">
        <f t="shared" si="1"/>
        <v>0.70710631209355757</v>
      </c>
      <c r="F31" s="5">
        <v>0</v>
      </c>
      <c r="H31" t="s">
        <v>330</v>
      </c>
      <c r="I31">
        <v>6</v>
      </c>
      <c r="J31">
        <v>0</v>
      </c>
      <c r="L31">
        <f t="shared" si="2"/>
        <v>6</v>
      </c>
      <c r="M31">
        <v>0</v>
      </c>
    </row>
    <row r="32" spans="1:13" ht="15.75" customHeight="1" x14ac:dyDescent="0.2">
      <c r="A32" s="4" t="s">
        <v>122</v>
      </c>
      <c r="B32" s="8">
        <v>2</v>
      </c>
      <c r="C32" s="8">
        <v>8</v>
      </c>
      <c r="D32" s="7">
        <f t="shared" si="0"/>
        <v>1.4142145005584525</v>
      </c>
      <c r="E32" s="7">
        <f t="shared" si="1"/>
        <v>1.4142126241871151</v>
      </c>
      <c r="F32" s="5">
        <v>0</v>
      </c>
      <c r="H32" t="s">
        <v>331</v>
      </c>
      <c r="I32">
        <v>6</v>
      </c>
      <c r="J32">
        <v>2</v>
      </c>
      <c r="L32">
        <f t="shared" si="2"/>
        <v>6.32</v>
      </c>
      <c r="M32">
        <f t="shared" si="3"/>
        <v>3.27</v>
      </c>
    </row>
    <row r="33" spans="2:5" ht="15.75" customHeight="1" x14ac:dyDescent="0.2">
      <c r="D33" s="7"/>
      <c r="E33" s="7"/>
    </row>
    <row r="34" spans="2:5" ht="15.75" customHeight="1" x14ac:dyDescent="0.2">
      <c r="D34" s="7"/>
      <c r="E34" s="7"/>
    </row>
    <row r="35" spans="2:5" ht="15.75" customHeight="1" x14ac:dyDescent="0.2">
      <c r="D35" s="7"/>
      <c r="E35" s="7"/>
    </row>
    <row r="36" spans="2:5" ht="15.75" customHeight="1" x14ac:dyDescent="0.2">
      <c r="D36" s="7"/>
      <c r="E36" s="7"/>
    </row>
    <row r="37" spans="2:5" ht="15.75" customHeight="1" x14ac:dyDescent="0.2">
      <c r="D37" s="7"/>
      <c r="E37" s="7"/>
    </row>
    <row r="38" spans="2:5" ht="15.75" customHeight="1" x14ac:dyDescent="0.2">
      <c r="D38" s="7"/>
      <c r="E38" s="7"/>
    </row>
    <row r="39" spans="2:5" ht="15.75" customHeight="1" x14ac:dyDescent="0.2">
      <c r="B39" s="8"/>
      <c r="C39" s="8"/>
      <c r="D39" s="7"/>
      <c r="E39" s="7"/>
    </row>
    <row r="40" spans="2:5" ht="15.75" customHeight="1" x14ac:dyDescent="0.2">
      <c r="B40" s="8"/>
      <c r="C40" s="8"/>
      <c r="D40" s="7"/>
      <c r="E40" s="7"/>
    </row>
    <row r="41" spans="2:5" ht="15.75" customHeight="1" x14ac:dyDescent="0.2">
      <c r="D41" s="7"/>
      <c r="E41" s="7"/>
    </row>
    <row r="42" spans="2:5" ht="15.75" customHeight="1" x14ac:dyDescent="0.2">
      <c r="D42" s="7"/>
      <c r="E42" s="7"/>
    </row>
    <row r="43" spans="2:5" ht="15.75" customHeight="1" x14ac:dyDescent="0.2"/>
    <row r="44" spans="2:5" ht="15.75" customHeight="1" x14ac:dyDescent="0.2"/>
    <row r="45" spans="2:5" ht="15.75" customHeight="1" x14ac:dyDescent="0.2"/>
    <row r="46" spans="2:5" ht="15.75" customHeight="1" x14ac:dyDescent="0.2"/>
    <row r="47" spans="2:5" ht="15.75" customHeight="1" x14ac:dyDescent="0.2"/>
    <row r="48" spans="2:5"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I1000"/>
  <sheetViews>
    <sheetView workbookViewId="0"/>
  </sheetViews>
  <sheetFormatPr baseColWidth="10" defaultColWidth="14.5" defaultRowHeight="15" customHeight="1" x14ac:dyDescent="0.2"/>
  <cols>
    <col min="1" max="1" width="10.6640625" customWidth="1"/>
    <col min="2" max="2" width="13.83203125" customWidth="1"/>
    <col min="3" max="3" width="15" customWidth="1"/>
    <col min="4" max="7" width="10.6640625" customWidth="1"/>
    <col min="8" max="8" width="16.83203125" customWidth="1"/>
    <col min="9" max="9" width="21" customWidth="1"/>
  </cols>
  <sheetData>
    <row r="1" spans="1:9" x14ac:dyDescent="0.2">
      <c r="A1" s="5" t="s">
        <v>125</v>
      </c>
      <c r="B1" s="5" t="s">
        <v>0</v>
      </c>
      <c r="C1" s="9" t="s">
        <v>163</v>
      </c>
      <c r="D1" s="7" t="s">
        <v>189</v>
      </c>
      <c r="E1" s="7" t="s">
        <v>190</v>
      </c>
      <c r="F1" s="7" t="s">
        <v>191</v>
      </c>
      <c r="G1" s="7" t="s">
        <v>192</v>
      </c>
      <c r="H1" s="7" t="s">
        <v>193</v>
      </c>
      <c r="I1" s="7" t="s">
        <v>194</v>
      </c>
    </row>
    <row r="2" spans="1:9" x14ac:dyDescent="0.2">
      <c r="A2" s="2">
        <v>1</v>
      </c>
      <c r="B2" s="2" t="s">
        <v>6</v>
      </c>
      <c r="C2" s="2" t="s">
        <v>100</v>
      </c>
      <c r="D2" s="7">
        <f>VLOOKUP(B2,courses_program1!A:E,4,0)</f>
        <v>2.6535897933550656E-6</v>
      </c>
      <c r="E2" s="7">
        <f>VLOOKUP(B2,courses_program1!A:E,5,0)</f>
        <v>1.9999999999982396</v>
      </c>
      <c r="F2" s="7">
        <f>VLOOKUP(C2,courses_program1!A:E,4,0)</f>
        <v>1.3267948966775328E-6</v>
      </c>
      <c r="G2" s="7">
        <f>VLOOKUP(C2,courses_program1!A:E,5,0)</f>
        <v>0.99999999999911982</v>
      </c>
      <c r="H2" s="2">
        <v>1</v>
      </c>
      <c r="I2" s="2" t="e">
        <f t="shared" ref="I2:I55" ca="1" si="0">_xludf.CONCAT(B2, C2)</f>
        <v>#NAME?</v>
      </c>
    </row>
    <row r="3" spans="1:9" x14ac:dyDescent="0.2">
      <c r="A3" s="2">
        <v>2</v>
      </c>
      <c r="B3" s="2" t="s">
        <v>12</v>
      </c>
      <c r="C3" s="2" t="s">
        <v>119</v>
      </c>
      <c r="D3" s="7">
        <f>VLOOKUP(B3,courses_program1!A:E,4,0)</f>
        <v>0.76536870342777408</v>
      </c>
      <c r="E3" s="7">
        <f>VLOOKUP(B3,courses_program1!A:E,5,0)</f>
        <v>1.8477583034080209</v>
      </c>
      <c r="F3" s="7">
        <f>VLOOKUP(C3,courses_program1!A:E,4,0)</f>
        <v>0.70710725027922627</v>
      </c>
      <c r="G3" s="7">
        <f>VLOOKUP(C3,courses_program1!A:E,5,0)</f>
        <v>0.70710631209355757</v>
      </c>
      <c r="H3" s="2">
        <v>1</v>
      </c>
      <c r="I3" s="2" t="e">
        <f t="shared" ca="1" si="0"/>
        <v>#NAME?</v>
      </c>
    </row>
    <row r="4" spans="1:9" x14ac:dyDescent="0.2">
      <c r="A4" s="2">
        <v>4</v>
      </c>
      <c r="B4" s="2" t="s">
        <v>20</v>
      </c>
      <c r="C4" s="2" t="s">
        <v>104</v>
      </c>
      <c r="D4" s="7">
        <f>VLOOKUP(B4,courses_program1!A:E,4,0)</f>
        <v>-2.1213161217199321</v>
      </c>
      <c r="E4" s="7">
        <f>VLOOKUP(B4,courses_program1!A:E,5,0)</f>
        <v>2.1213245653909509</v>
      </c>
      <c r="F4" s="7">
        <f>VLOOKUP(C4,courses_program1!A:E,4,0)</f>
        <v>-0.76536380023250494</v>
      </c>
      <c r="G4" s="7">
        <f>VLOOKUP(C4,courses_program1!A:E,5,0)</f>
        <v>1.8477603343760949</v>
      </c>
      <c r="H4" s="2">
        <v>1</v>
      </c>
      <c r="I4" s="2" t="e">
        <f t="shared" ca="1" si="0"/>
        <v>#NAME?</v>
      </c>
    </row>
    <row r="5" spans="1:9" x14ac:dyDescent="0.2">
      <c r="A5" s="2">
        <v>5</v>
      </c>
      <c r="B5" s="2" t="s">
        <v>24</v>
      </c>
      <c r="C5" s="2" t="s">
        <v>6</v>
      </c>
      <c r="D5" s="7">
        <f>VLOOKUP(B5,courses_program1!A:E,4,0)</f>
        <v>3.9803846900325983E-6</v>
      </c>
      <c r="E5" s="7">
        <f>VLOOKUP(B5,courses_program1!A:E,5,0)</f>
        <v>2.9999999999973594</v>
      </c>
      <c r="F5" s="7">
        <f>VLOOKUP(C5,courses_program1!A:E,4,0)</f>
        <v>2.6535897933550656E-6</v>
      </c>
      <c r="G5" s="7">
        <f>VLOOKUP(C5,courses_program1!A:E,5,0)</f>
        <v>1.9999999999982396</v>
      </c>
      <c r="H5" s="2">
        <v>1</v>
      </c>
      <c r="I5" s="2" t="e">
        <f t="shared" ca="1" si="0"/>
        <v>#NAME?</v>
      </c>
    </row>
    <row r="6" spans="1:9" x14ac:dyDescent="0.2">
      <c r="A6" s="2">
        <v>5</v>
      </c>
      <c r="B6" s="2" t="s">
        <v>24</v>
      </c>
      <c r="C6" s="2" t="s">
        <v>16</v>
      </c>
      <c r="D6" s="7">
        <f>VLOOKUP(B6,courses_program1!A:E,4,0)</f>
        <v>3.9803846900325983E-6</v>
      </c>
      <c r="E6" s="7">
        <f>VLOOKUP(B6,courses_program1!A:E,5,0)</f>
        <v>2.9999999999973594</v>
      </c>
      <c r="F6" s="7">
        <f>VLOOKUP(C6,courses_program1!A:E,4,0)</f>
        <v>-0.70710537390664396</v>
      </c>
      <c r="G6" s="7">
        <f>VLOOKUP(C6,courses_program1!A:E,5,0)</f>
        <v>0.70710818846365031</v>
      </c>
      <c r="H6" s="2">
        <v>0</v>
      </c>
      <c r="I6" s="2" t="e">
        <f t="shared" ca="1" si="0"/>
        <v>#NAME?</v>
      </c>
    </row>
    <row r="7" spans="1:9" x14ac:dyDescent="0.2">
      <c r="A7" s="2">
        <v>5</v>
      </c>
      <c r="B7" s="2" t="s">
        <v>24</v>
      </c>
      <c r="C7" s="2" t="s">
        <v>20</v>
      </c>
      <c r="D7" s="7">
        <f>VLOOKUP(B7,courses_program1!A:E,4,0)</f>
        <v>3.9803846900325983E-6</v>
      </c>
      <c r="E7" s="7">
        <f>VLOOKUP(B7,courses_program1!A:E,5,0)</f>
        <v>2.9999999999973594</v>
      </c>
      <c r="F7" s="7">
        <f>VLOOKUP(C7,courses_program1!A:E,4,0)</f>
        <v>-2.1213161217199321</v>
      </c>
      <c r="G7" s="7">
        <f>VLOOKUP(C7,courses_program1!A:E,5,0)</f>
        <v>2.1213245653909509</v>
      </c>
      <c r="H7" s="2">
        <v>0</v>
      </c>
      <c r="I7" s="2" t="e">
        <f t="shared" ca="1" si="0"/>
        <v>#NAME?</v>
      </c>
    </row>
    <row r="8" spans="1:9" x14ac:dyDescent="0.2">
      <c r="A8" s="2">
        <v>6</v>
      </c>
      <c r="B8" s="2" t="s">
        <v>28</v>
      </c>
      <c r="C8" s="2" t="s">
        <v>12</v>
      </c>
      <c r="D8" s="7">
        <f>VLOOKUP(B8,courses_program1!A:E,4,0)</f>
        <v>2.1213217508376787</v>
      </c>
      <c r="E8" s="7">
        <f>VLOOKUP(B8,courses_program1!A:E,5,0)</f>
        <v>2.1213189362806726</v>
      </c>
      <c r="F8" s="7">
        <f>VLOOKUP(C8,courses_program1!A:E,4,0)</f>
        <v>0.76536870342777408</v>
      </c>
      <c r="G8" s="7">
        <f>VLOOKUP(C8,courses_program1!A:E,5,0)</f>
        <v>1.8477583034080209</v>
      </c>
      <c r="H8" s="2">
        <v>1</v>
      </c>
      <c r="I8" s="2" t="e">
        <f t="shared" ca="1" si="0"/>
        <v>#NAME?</v>
      </c>
    </row>
    <row r="9" spans="1:9" x14ac:dyDescent="0.2">
      <c r="A9" s="2">
        <v>7</v>
      </c>
      <c r="B9" s="2" t="s">
        <v>28</v>
      </c>
      <c r="C9" s="2" t="s">
        <v>100</v>
      </c>
      <c r="D9" s="7">
        <f>VLOOKUP(B9,courses_program1!A:E,4,0)</f>
        <v>2.1213217508376787</v>
      </c>
      <c r="E9" s="7">
        <f>VLOOKUP(B9,courses_program1!A:E,5,0)</f>
        <v>2.1213189362806726</v>
      </c>
      <c r="F9" s="7">
        <f>VLOOKUP(C9,courses_program1!A:E,4,0)</f>
        <v>1.3267948966775328E-6</v>
      </c>
      <c r="G9" s="7">
        <f>VLOOKUP(C9,courses_program1!A:E,5,0)</f>
        <v>0.99999999999911982</v>
      </c>
      <c r="H9" s="2">
        <v>1</v>
      </c>
      <c r="I9" s="2" t="e">
        <f t="shared" ca="1" si="0"/>
        <v>#NAME?</v>
      </c>
    </row>
    <row r="10" spans="1:9" x14ac:dyDescent="0.2">
      <c r="A10" s="2">
        <v>8</v>
      </c>
      <c r="B10" s="2" t="s">
        <v>31</v>
      </c>
      <c r="C10" s="2" t="s">
        <v>108</v>
      </c>
      <c r="D10" s="7">
        <f>VLOOKUP(B10,courses_program1!A:E,4,0)</f>
        <v>0.68282011229000983</v>
      </c>
      <c r="E10" s="7">
        <f>VLOOKUP(B10,courses_program1!A:E,5,0)</f>
        <v>3.4327476886966592</v>
      </c>
      <c r="F10" s="7">
        <f>VLOOKUP(C10,courses_program1!A:E,4,0)</f>
        <v>-1.1480457003487574</v>
      </c>
      <c r="G10" s="7">
        <f>VLOOKUP(C10,courses_program1!A:E,5,0)</f>
        <v>2.7716405015641423</v>
      </c>
      <c r="H10" s="2">
        <v>1</v>
      </c>
      <c r="I10" s="2" t="e">
        <f t="shared" ca="1" si="0"/>
        <v>#NAME?</v>
      </c>
    </row>
    <row r="11" spans="1:9" x14ac:dyDescent="0.2">
      <c r="A11" s="2">
        <v>9</v>
      </c>
      <c r="B11" s="2" t="s">
        <v>36</v>
      </c>
      <c r="C11" s="2" t="s">
        <v>6</v>
      </c>
      <c r="D11" s="7">
        <f>VLOOKUP(B11,courses_program1!A:E,4,0)</f>
        <v>0.87791157294429845</v>
      </c>
      <c r="E11" s="7">
        <f>VLOOKUP(B11,courses_program1!A:E,5,0)</f>
        <v>4.4135327426099904</v>
      </c>
      <c r="F11" s="7">
        <f>VLOOKUP(C11,courses_program1!A:E,4,0)</f>
        <v>2.6535897933550656E-6</v>
      </c>
      <c r="G11" s="7">
        <f>VLOOKUP(C11,courses_program1!A:E,5,0)</f>
        <v>1.9999999999982396</v>
      </c>
      <c r="H11" s="2">
        <v>1</v>
      </c>
      <c r="I11" s="2" t="e">
        <f t="shared" ca="1" si="0"/>
        <v>#NAME?</v>
      </c>
    </row>
    <row r="12" spans="1:9" x14ac:dyDescent="0.2">
      <c r="A12" s="2">
        <v>9</v>
      </c>
      <c r="B12" s="2" t="s">
        <v>36</v>
      </c>
      <c r="C12" s="2" t="s">
        <v>16</v>
      </c>
      <c r="D12" s="7">
        <f>VLOOKUP(B12,courses_program1!A:E,4,0)</f>
        <v>0.87791157294429845</v>
      </c>
      <c r="E12" s="7">
        <f>VLOOKUP(B12,courses_program1!A:E,5,0)</f>
        <v>4.4135327426099904</v>
      </c>
      <c r="F12" s="7">
        <f>VLOOKUP(C12,courses_program1!A:E,4,0)</f>
        <v>-0.70710537390664396</v>
      </c>
      <c r="G12" s="7">
        <f>VLOOKUP(C12,courses_program1!A:E,5,0)</f>
        <v>0.70710818846365031</v>
      </c>
      <c r="H12" s="2">
        <v>0</v>
      </c>
      <c r="I12" s="2" t="e">
        <f t="shared" ca="1" si="0"/>
        <v>#NAME?</v>
      </c>
    </row>
    <row r="13" spans="1:9" x14ac:dyDescent="0.2">
      <c r="A13" s="2">
        <v>9</v>
      </c>
      <c r="B13" s="2" t="s">
        <v>36</v>
      </c>
      <c r="C13" s="2" t="s">
        <v>20</v>
      </c>
      <c r="D13" s="7">
        <f>VLOOKUP(B13,courses_program1!A:E,4,0)</f>
        <v>0.87791157294429845</v>
      </c>
      <c r="E13" s="7">
        <f>VLOOKUP(B13,courses_program1!A:E,5,0)</f>
        <v>4.4135327426099904</v>
      </c>
      <c r="F13" s="7">
        <f>VLOOKUP(C13,courses_program1!A:E,4,0)</f>
        <v>-2.1213161217199321</v>
      </c>
      <c r="G13" s="7">
        <f>VLOOKUP(C13,courses_program1!A:E,5,0)</f>
        <v>2.1213245653909509</v>
      </c>
      <c r="H13" s="2">
        <v>0</v>
      </c>
      <c r="I13" s="2" t="e">
        <f t="shared" ca="1" si="0"/>
        <v>#NAME?</v>
      </c>
    </row>
    <row r="14" spans="1:9" x14ac:dyDescent="0.2">
      <c r="A14" s="2">
        <v>9</v>
      </c>
      <c r="B14" s="2" t="s">
        <v>36</v>
      </c>
      <c r="C14" s="2" t="s">
        <v>31</v>
      </c>
      <c r="D14" s="7">
        <f>VLOOKUP(B14,courses_program1!A:E,4,0)</f>
        <v>0.87791157294429845</v>
      </c>
      <c r="E14" s="7">
        <f>VLOOKUP(B14,courses_program1!A:E,5,0)</f>
        <v>4.4135327426099904</v>
      </c>
      <c r="F14" s="7">
        <f>VLOOKUP(C14,courses_program1!A:E,4,0)</f>
        <v>0.68282011229000983</v>
      </c>
      <c r="G14" s="7">
        <f>VLOOKUP(C14,courses_program1!A:E,5,0)</f>
        <v>3.4327476886966592</v>
      </c>
      <c r="H14" s="2">
        <v>1</v>
      </c>
      <c r="I14" s="2" t="e">
        <f t="shared" ca="1" si="0"/>
        <v>#NAME?</v>
      </c>
    </row>
    <row r="15" spans="1:9" x14ac:dyDescent="0.2">
      <c r="A15" s="2">
        <v>9</v>
      </c>
      <c r="B15" s="2" t="s">
        <v>36</v>
      </c>
      <c r="C15" s="2" t="s">
        <v>12</v>
      </c>
      <c r="D15" s="7">
        <f>VLOOKUP(B15,courses_program1!A:E,4,0)</f>
        <v>0.87791157294429845</v>
      </c>
      <c r="E15" s="7">
        <f>VLOOKUP(B15,courses_program1!A:E,5,0)</f>
        <v>4.4135327426099904</v>
      </c>
      <c r="F15" s="7">
        <f>VLOOKUP(C15,courses_program1!A:E,4,0)</f>
        <v>0.76536870342777408</v>
      </c>
      <c r="G15" s="7">
        <f>VLOOKUP(C15,courses_program1!A:E,5,0)</f>
        <v>1.8477583034080209</v>
      </c>
      <c r="H15" s="2">
        <v>1</v>
      </c>
      <c r="I15" s="2" t="e">
        <f t="shared" ca="1" si="0"/>
        <v>#NAME?</v>
      </c>
    </row>
    <row r="16" spans="1:9" x14ac:dyDescent="0.2">
      <c r="A16" s="2">
        <v>9</v>
      </c>
      <c r="B16" s="2" t="s">
        <v>36</v>
      </c>
      <c r="C16" s="2" t="s">
        <v>122</v>
      </c>
      <c r="D16" s="7">
        <f>VLOOKUP(B16,courses_program1!A:E,4,0)</f>
        <v>0.87791157294429845</v>
      </c>
      <c r="E16" s="7">
        <f>VLOOKUP(B16,courses_program1!A:E,5,0)</f>
        <v>4.4135327426099904</v>
      </c>
      <c r="F16" s="7">
        <f>VLOOKUP(C16,courses_program1!A:E,4,0)</f>
        <v>1.4142145005584525</v>
      </c>
      <c r="G16" s="7">
        <f>VLOOKUP(C16,courses_program1!A:E,5,0)</f>
        <v>1.4142126241871151</v>
      </c>
      <c r="H16" s="2">
        <v>1</v>
      </c>
      <c r="I16" s="2" t="e">
        <f t="shared" ca="1" si="0"/>
        <v>#NAME?</v>
      </c>
    </row>
    <row r="17" spans="1:9" x14ac:dyDescent="0.2">
      <c r="A17" s="2">
        <v>10</v>
      </c>
      <c r="B17" s="2" t="s">
        <v>39</v>
      </c>
      <c r="C17" s="2" t="s">
        <v>112</v>
      </c>
      <c r="D17" s="7">
        <f>VLOOKUP(B17,courses_program1!A:E,4,0)</f>
        <v>6.6339744833876643E-6</v>
      </c>
      <c r="E17" s="7">
        <f>VLOOKUP(B17,courses_program1!A:E,5,0)</f>
        <v>4.9999999999955991</v>
      </c>
      <c r="F17" s="7">
        <f>VLOOKUP(C17,courses_program1!A:E,4,0)</f>
        <v>-1.4142107478132879</v>
      </c>
      <c r="G17" s="7">
        <f>VLOOKUP(C17,courses_program1!A:E,5,0)</f>
        <v>1.4142163769273006</v>
      </c>
      <c r="H17" s="2">
        <v>1</v>
      </c>
      <c r="I17" s="2" t="e">
        <f t="shared" ca="1" si="0"/>
        <v>#NAME?</v>
      </c>
    </row>
    <row r="18" spans="1:9" x14ac:dyDescent="0.2">
      <c r="A18" s="2">
        <v>11</v>
      </c>
      <c r="B18" s="2" t="s">
        <v>39</v>
      </c>
      <c r="C18" s="2" t="s">
        <v>6</v>
      </c>
      <c r="D18" s="7">
        <f>VLOOKUP(B18,courses_program1!A:E,4,0)</f>
        <v>6.6339744833876643E-6</v>
      </c>
      <c r="E18" s="7">
        <f>VLOOKUP(B18,courses_program1!A:E,5,0)</f>
        <v>4.9999999999955991</v>
      </c>
      <c r="F18" s="7">
        <f>VLOOKUP(C18,courses_program1!A:E,4,0)</f>
        <v>2.6535897933550656E-6</v>
      </c>
      <c r="G18" s="7">
        <f>VLOOKUP(C18,courses_program1!A:E,5,0)</f>
        <v>1.9999999999982396</v>
      </c>
      <c r="H18" s="2">
        <v>1</v>
      </c>
      <c r="I18" s="2" t="e">
        <f t="shared" ca="1" si="0"/>
        <v>#NAME?</v>
      </c>
    </row>
    <row r="19" spans="1:9" x14ac:dyDescent="0.2">
      <c r="A19" s="2">
        <v>11</v>
      </c>
      <c r="B19" s="2" t="s">
        <v>39</v>
      </c>
      <c r="C19" s="2" t="s">
        <v>20</v>
      </c>
      <c r="D19" s="7">
        <f>VLOOKUP(B19,courses_program1!A:E,4,0)</f>
        <v>6.6339744833876643E-6</v>
      </c>
      <c r="E19" s="7">
        <f>VLOOKUP(B19,courses_program1!A:E,5,0)</f>
        <v>4.9999999999955991</v>
      </c>
      <c r="F19" s="7">
        <f>VLOOKUP(C19,courses_program1!A:E,4,0)</f>
        <v>-2.1213161217199321</v>
      </c>
      <c r="G19" s="7">
        <f>VLOOKUP(C19,courses_program1!A:E,5,0)</f>
        <v>2.1213245653909509</v>
      </c>
      <c r="H19" s="2">
        <v>0</v>
      </c>
      <c r="I19" s="2" t="e">
        <f t="shared" ca="1" si="0"/>
        <v>#NAME?</v>
      </c>
    </row>
    <row r="20" spans="1:9" x14ac:dyDescent="0.2">
      <c r="A20" s="2">
        <v>11</v>
      </c>
      <c r="B20" s="2" t="s">
        <v>39</v>
      </c>
      <c r="C20" s="2" t="s">
        <v>24</v>
      </c>
      <c r="D20" s="7">
        <f>VLOOKUP(B20,courses_program1!A:E,4,0)</f>
        <v>6.6339744833876643E-6</v>
      </c>
      <c r="E20" s="7">
        <f>VLOOKUP(B20,courses_program1!A:E,5,0)</f>
        <v>4.9999999999955991</v>
      </c>
      <c r="F20" s="7">
        <f>VLOOKUP(C20,courses_program1!A:E,4,0)</f>
        <v>3.9803846900325983E-6</v>
      </c>
      <c r="G20" s="7">
        <f>VLOOKUP(C20,courses_program1!A:E,5,0)</f>
        <v>2.9999999999973594</v>
      </c>
      <c r="H20" s="2">
        <v>0</v>
      </c>
      <c r="I20" s="2" t="e">
        <f t="shared" ca="1" si="0"/>
        <v>#NAME?</v>
      </c>
    </row>
    <row r="21" spans="1:9" ht="15.75" customHeight="1" x14ac:dyDescent="0.2">
      <c r="A21" s="2">
        <v>12</v>
      </c>
      <c r="B21" s="2" t="s">
        <v>39</v>
      </c>
      <c r="C21" s="2" t="s">
        <v>31</v>
      </c>
      <c r="D21" s="7">
        <f>VLOOKUP(B21,courses_program1!A:E,4,0)</f>
        <v>6.6339744833876643E-6</v>
      </c>
      <c r="E21" s="7">
        <f>VLOOKUP(B21,courses_program1!A:E,5,0)</f>
        <v>4.9999999999955991</v>
      </c>
      <c r="F21" s="7">
        <f>VLOOKUP(C21,courses_program1!A:E,4,0)</f>
        <v>0.68282011229000983</v>
      </c>
      <c r="G21" s="7">
        <f>VLOOKUP(C21,courses_program1!A:E,5,0)</f>
        <v>3.4327476886966592</v>
      </c>
      <c r="H21" s="2">
        <v>1</v>
      </c>
      <c r="I21" s="2" t="e">
        <f t="shared" ca="1" si="0"/>
        <v>#NAME?</v>
      </c>
    </row>
    <row r="22" spans="1:9" ht="15.75" customHeight="1" x14ac:dyDescent="0.2">
      <c r="A22" s="2">
        <v>13</v>
      </c>
      <c r="B22" s="2" t="s">
        <v>43</v>
      </c>
      <c r="C22" s="2" t="s">
        <v>39</v>
      </c>
      <c r="D22" s="7">
        <f>VLOOKUP(B22,courses_program1!A:E,4,0)</f>
        <v>7.9607693800651965E-6</v>
      </c>
      <c r="E22" s="7">
        <f>VLOOKUP(B22,courses_program1!A:E,5,0)</f>
        <v>5.9999999999947189</v>
      </c>
      <c r="F22" s="7">
        <f>VLOOKUP(C22,courses_program1!A:E,4,0)</f>
        <v>6.6339744833876643E-6</v>
      </c>
      <c r="G22" s="7">
        <f>VLOOKUP(C22,courses_program1!A:E,5,0)</f>
        <v>4.9999999999955991</v>
      </c>
      <c r="H22" s="2">
        <v>1</v>
      </c>
      <c r="I22" s="2" t="e">
        <f t="shared" ca="1" si="0"/>
        <v>#NAME?</v>
      </c>
    </row>
    <row r="23" spans="1:9" ht="15.75" customHeight="1" x14ac:dyDescent="0.2">
      <c r="A23" s="2">
        <v>14</v>
      </c>
      <c r="B23" s="2" t="s">
        <v>53</v>
      </c>
      <c r="C23" s="2" t="s">
        <v>36</v>
      </c>
      <c r="D23" s="7">
        <f>VLOOKUP(B23,courses_program1!A:E,4,0)</f>
        <v>1.336396962102385</v>
      </c>
      <c r="E23" s="7">
        <f>VLOOKUP(B23,courses_program1!A:E,5,0)</f>
        <v>5.3351703964993957</v>
      </c>
      <c r="F23" s="7">
        <f>VLOOKUP(C23,courses_program1!A:E,4,0)</f>
        <v>0.87791157294429845</v>
      </c>
      <c r="G23" s="7">
        <f>VLOOKUP(C23,courses_program1!A:E,5,0)</f>
        <v>4.4135327426099904</v>
      </c>
      <c r="H23" s="2">
        <v>1</v>
      </c>
      <c r="I23" s="2" t="e">
        <f t="shared" ca="1" si="0"/>
        <v>#NAME?</v>
      </c>
    </row>
    <row r="24" spans="1:9" ht="15.75" customHeight="1" x14ac:dyDescent="0.2">
      <c r="A24" s="2">
        <v>15</v>
      </c>
      <c r="B24" s="2" t="s">
        <v>59</v>
      </c>
      <c r="C24" s="2" t="s">
        <v>6</v>
      </c>
      <c r="D24" s="7">
        <f>VLOOKUP(B24,courses_program1!A:E,4,0)</f>
        <v>1.148053055141661</v>
      </c>
      <c r="E24" s="7">
        <f>VLOOKUP(B24,courses_program1!A:E,5,0)</f>
        <v>2.7716374551120313</v>
      </c>
      <c r="F24" s="7">
        <f>VLOOKUP(C24,courses_program1!A:E,4,0)</f>
        <v>2.6535897933550656E-6</v>
      </c>
      <c r="G24" s="7">
        <f>VLOOKUP(C24,courses_program1!A:E,5,0)</f>
        <v>1.9999999999982396</v>
      </c>
      <c r="H24" s="2">
        <v>1</v>
      </c>
      <c r="I24" s="2" t="e">
        <f t="shared" ca="1" si="0"/>
        <v>#NAME?</v>
      </c>
    </row>
    <row r="25" spans="1:9" ht="15.75" customHeight="1" x14ac:dyDescent="0.2">
      <c r="A25" s="2">
        <v>15</v>
      </c>
      <c r="B25" s="2" t="s">
        <v>59</v>
      </c>
      <c r="C25" s="2" t="s">
        <v>20</v>
      </c>
      <c r="D25" s="7">
        <f>VLOOKUP(B25,courses_program1!A:E,4,0)</f>
        <v>1.148053055141661</v>
      </c>
      <c r="E25" s="7">
        <f>VLOOKUP(B25,courses_program1!A:E,5,0)</f>
        <v>2.7716374551120313</v>
      </c>
      <c r="F25" s="7">
        <f>VLOOKUP(C25,courses_program1!A:E,4,0)</f>
        <v>-2.1213161217199321</v>
      </c>
      <c r="G25" s="7">
        <f>VLOOKUP(C25,courses_program1!A:E,5,0)</f>
        <v>2.1213245653909509</v>
      </c>
      <c r="H25" s="2">
        <v>0</v>
      </c>
      <c r="I25" s="2" t="e">
        <f t="shared" ca="1" si="0"/>
        <v>#NAME?</v>
      </c>
    </row>
    <row r="26" spans="1:9" ht="15.75" customHeight="1" x14ac:dyDescent="0.2">
      <c r="A26" s="2">
        <v>16</v>
      </c>
      <c r="B26" s="2" t="s">
        <v>63</v>
      </c>
      <c r="C26" s="2" t="s">
        <v>6</v>
      </c>
      <c r="D26" s="7">
        <f>VLOOKUP(B26,courses_program1!A:E,4,0)</f>
        <v>-0.87789986123576902</v>
      </c>
      <c r="E26" s="7">
        <f>VLOOKUP(B26,courses_program1!A:E,5,0)</f>
        <v>4.4135350722116415</v>
      </c>
      <c r="F26" s="7">
        <f>VLOOKUP(C26,courses_program1!A:E,4,0)</f>
        <v>2.6535897933550656E-6</v>
      </c>
      <c r="G26" s="7">
        <f>VLOOKUP(C26,courses_program1!A:E,5,0)</f>
        <v>1.9999999999982396</v>
      </c>
      <c r="H26" s="2">
        <v>1</v>
      </c>
      <c r="I26" s="2" t="e">
        <f t="shared" ca="1" si="0"/>
        <v>#NAME?</v>
      </c>
    </row>
    <row r="27" spans="1:9" ht="15.75" customHeight="1" x14ac:dyDescent="0.2">
      <c r="A27" s="2">
        <v>16</v>
      </c>
      <c r="B27" s="2" t="s">
        <v>63</v>
      </c>
      <c r="C27" s="2" t="s">
        <v>20</v>
      </c>
      <c r="D27" s="7">
        <f>VLOOKUP(B27,courses_program1!A:E,4,0)</f>
        <v>-0.87789986123576902</v>
      </c>
      <c r="E27" s="7">
        <f>VLOOKUP(B27,courses_program1!A:E,5,0)</f>
        <v>4.4135350722116415</v>
      </c>
      <c r="F27" s="7">
        <f>VLOOKUP(C27,courses_program1!A:E,4,0)</f>
        <v>-2.1213161217199321</v>
      </c>
      <c r="G27" s="7">
        <f>VLOOKUP(C27,courses_program1!A:E,5,0)</f>
        <v>2.1213245653909509</v>
      </c>
      <c r="H27" s="2">
        <v>0</v>
      </c>
      <c r="I27" s="2" t="e">
        <f t="shared" ca="1" si="0"/>
        <v>#NAME?</v>
      </c>
    </row>
    <row r="28" spans="1:9" ht="15.75" customHeight="1" x14ac:dyDescent="0.2">
      <c r="A28" s="2">
        <v>17</v>
      </c>
      <c r="B28" s="2" t="s">
        <v>63</v>
      </c>
      <c r="C28" s="2" t="s">
        <v>31</v>
      </c>
      <c r="D28" s="7">
        <f>VLOOKUP(B28,courses_program1!A:E,4,0)</f>
        <v>-0.87789986123576902</v>
      </c>
      <c r="E28" s="7">
        <f>VLOOKUP(B28,courses_program1!A:E,5,0)</f>
        <v>4.4135350722116415</v>
      </c>
      <c r="F28" s="7">
        <f>VLOOKUP(C28,courses_program1!A:E,4,0)</f>
        <v>0.68282011229000983</v>
      </c>
      <c r="G28" s="7">
        <f>VLOOKUP(C28,courses_program1!A:E,5,0)</f>
        <v>3.4327476886966592</v>
      </c>
      <c r="H28" s="2">
        <v>1</v>
      </c>
      <c r="I28" s="2" t="e">
        <f t="shared" ca="1" si="0"/>
        <v>#NAME?</v>
      </c>
    </row>
    <row r="29" spans="1:9" ht="15.75" customHeight="1" x14ac:dyDescent="0.2">
      <c r="A29" s="2">
        <v>18</v>
      </c>
      <c r="B29" s="2" t="s">
        <v>66</v>
      </c>
      <c r="C29" s="2" t="s">
        <v>36</v>
      </c>
      <c r="D29" s="7">
        <f>VLOOKUP(B29,courses_program1!A:E,4,0)</f>
        <v>9.2875642767427304E-6</v>
      </c>
      <c r="E29" s="7">
        <f>VLOOKUP(B29,courses_program1!A:E,5,0)</f>
        <v>6.9999999999938387</v>
      </c>
      <c r="F29" s="7">
        <f>VLOOKUP(C29,courses_program1!A:E,4,0)</f>
        <v>0.87791157294429845</v>
      </c>
      <c r="G29" s="7">
        <f>VLOOKUP(C29,courses_program1!A:E,5,0)</f>
        <v>4.4135327426099904</v>
      </c>
      <c r="H29" s="2">
        <v>1</v>
      </c>
      <c r="I29" s="2" t="e">
        <f t="shared" ca="1" si="0"/>
        <v>#NAME?</v>
      </c>
    </row>
    <row r="30" spans="1:9" ht="15.75" customHeight="1" x14ac:dyDescent="0.2">
      <c r="A30" s="2">
        <v>19</v>
      </c>
      <c r="B30" s="2" t="s">
        <v>66</v>
      </c>
      <c r="C30" s="2" t="s">
        <v>112</v>
      </c>
      <c r="D30" s="7">
        <f>VLOOKUP(B30,courses_program1!A:E,4,0)</f>
        <v>9.2875642767427304E-6</v>
      </c>
      <c r="E30" s="7">
        <f>VLOOKUP(B30,courses_program1!A:E,5,0)</f>
        <v>6.9999999999938387</v>
      </c>
      <c r="F30" s="7">
        <f>VLOOKUP(C30,courses_program1!A:E,4,0)</f>
        <v>-1.4142107478132879</v>
      </c>
      <c r="G30" s="7">
        <f>VLOOKUP(C30,courses_program1!A:E,5,0)</f>
        <v>1.4142163769273006</v>
      </c>
      <c r="H30" s="2">
        <v>1</v>
      </c>
      <c r="I30" s="2" t="e">
        <f t="shared" ca="1" si="0"/>
        <v>#NAME?</v>
      </c>
    </row>
    <row r="31" spans="1:9" ht="15.75" customHeight="1" x14ac:dyDescent="0.2">
      <c r="A31" s="2">
        <v>20</v>
      </c>
      <c r="B31" s="2" t="s">
        <v>66</v>
      </c>
      <c r="C31" s="2" t="s">
        <v>39</v>
      </c>
      <c r="D31" s="7">
        <f>VLOOKUP(B31,courses_program1!A:E,4,0)</f>
        <v>9.2875642767427304E-6</v>
      </c>
      <c r="E31" s="7">
        <f>VLOOKUP(B31,courses_program1!A:E,5,0)</f>
        <v>6.9999999999938387</v>
      </c>
      <c r="F31" s="7">
        <f>VLOOKUP(C31,courses_program1!A:E,4,0)</f>
        <v>6.6339744833876643E-6</v>
      </c>
      <c r="G31" s="7">
        <f>VLOOKUP(C31,courses_program1!A:E,5,0)</f>
        <v>4.9999999999955991</v>
      </c>
      <c r="H31" s="2">
        <v>1</v>
      </c>
      <c r="I31" s="2" t="e">
        <f t="shared" ca="1" si="0"/>
        <v>#NAME?</v>
      </c>
    </row>
    <row r="32" spans="1:9" ht="15.75" customHeight="1" x14ac:dyDescent="0.2">
      <c r="A32" s="2">
        <v>21</v>
      </c>
      <c r="B32" s="2" t="s">
        <v>70</v>
      </c>
      <c r="C32" s="2" t="s">
        <v>31</v>
      </c>
      <c r="D32" s="7">
        <f>VLOOKUP(B32,courses_program1!A:E,4,0)</f>
        <v>2.6787904619972092</v>
      </c>
      <c r="E32" s="7">
        <f>VLOOKUP(B32,courses_program1!A:E,5,0)</f>
        <v>6.4671540619280732</v>
      </c>
      <c r="F32" s="7">
        <f>VLOOKUP(C32,courses_program1!A:E,4,0)</f>
        <v>0.68282011229000983</v>
      </c>
      <c r="G32" s="7">
        <f>VLOOKUP(C32,courses_program1!A:E,5,0)</f>
        <v>3.4327476886966592</v>
      </c>
      <c r="H32" s="2">
        <v>1</v>
      </c>
      <c r="I32" s="2" t="e">
        <f t="shared" ca="1" si="0"/>
        <v>#NAME?</v>
      </c>
    </row>
    <row r="33" spans="1:9" ht="15.75" customHeight="1" x14ac:dyDescent="0.2">
      <c r="A33" s="2">
        <v>22</v>
      </c>
      <c r="B33" s="2" t="s">
        <v>70</v>
      </c>
      <c r="C33" s="2" t="s">
        <v>36</v>
      </c>
      <c r="D33" s="7">
        <f>VLOOKUP(B33,courses_program1!A:E,4,0)</f>
        <v>2.6787904619972092</v>
      </c>
      <c r="E33" s="7">
        <f>VLOOKUP(B33,courses_program1!A:E,5,0)</f>
        <v>6.4671540619280732</v>
      </c>
      <c r="F33" s="7">
        <f>VLOOKUP(C33,courses_program1!A:E,4,0)</f>
        <v>0.87791157294429845</v>
      </c>
      <c r="G33" s="7">
        <f>VLOOKUP(C33,courses_program1!A:E,5,0)</f>
        <v>4.4135327426099904</v>
      </c>
      <c r="H33" s="2">
        <v>1</v>
      </c>
      <c r="I33" s="2" t="e">
        <f t="shared" ca="1" si="0"/>
        <v>#NAME?</v>
      </c>
    </row>
    <row r="34" spans="1:9" ht="15.75" customHeight="1" x14ac:dyDescent="0.2">
      <c r="A34" s="2">
        <v>22</v>
      </c>
      <c r="B34" s="2" t="s">
        <v>70</v>
      </c>
      <c r="C34" s="2" t="s">
        <v>93</v>
      </c>
      <c r="D34" s="7">
        <f>VLOOKUP(B34,courses_program1!A:E,4,0)</f>
        <v>2.6787904619972092</v>
      </c>
      <c r="E34" s="7">
        <f>VLOOKUP(B34,courses_program1!A:E,5,0)</f>
        <v>6.4671540619280732</v>
      </c>
      <c r="F34" s="7">
        <f>VLOOKUP(C34,courses_program1!A:E,4,0)</f>
        <v>-0.78412589918456477</v>
      </c>
      <c r="G34" s="7">
        <f>VLOOKUP(C34,courses_program1!A:E,5,0)</f>
        <v>7.9614789187831176</v>
      </c>
      <c r="H34" s="2">
        <v>0</v>
      </c>
      <c r="I34" s="2" t="e">
        <f t="shared" ca="1" si="0"/>
        <v>#NAME?</v>
      </c>
    </row>
    <row r="35" spans="1:9" ht="15.75" customHeight="1" x14ac:dyDescent="0.2">
      <c r="A35" s="2">
        <v>23</v>
      </c>
      <c r="B35" s="2" t="s">
        <v>73</v>
      </c>
      <c r="C35" s="2" t="s">
        <v>39</v>
      </c>
      <c r="D35" s="7">
        <f>VLOOKUP(B35,courses_program1!A:E,4,0)</f>
        <v>-2.6787733008137673</v>
      </c>
      <c r="E35" s="7">
        <f>VLOOKUP(B35,courses_program1!A:E,5,0)</f>
        <v>6.4671611703163325</v>
      </c>
      <c r="F35" s="7">
        <f>VLOOKUP(C35,courses_program1!A:E,4,0)</f>
        <v>6.6339744833876643E-6</v>
      </c>
      <c r="G35" s="7">
        <f>VLOOKUP(C35,courses_program1!A:E,5,0)</f>
        <v>4.9999999999955991</v>
      </c>
      <c r="H35" s="2">
        <v>1</v>
      </c>
      <c r="I35" s="2" t="e">
        <f t="shared" ca="1" si="0"/>
        <v>#NAME?</v>
      </c>
    </row>
    <row r="36" spans="1:9" ht="15.75" customHeight="1" x14ac:dyDescent="0.2">
      <c r="A36" s="2">
        <v>23</v>
      </c>
      <c r="B36" s="2" t="s">
        <v>73</v>
      </c>
      <c r="C36" s="2" t="s">
        <v>28</v>
      </c>
      <c r="D36" s="7">
        <f>VLOOKUP(B36,courses_program1!A:E,4,0)</f>
        <v>-2.6787733008137673</v>
      </c>
      <c r="E36" s="7">
        <f>VLOOKUP(B36,courses_program1!A:E,5,0)</f>
        <v>6.4671611703163325</v>
      </c>
      <c r="F36" s="7">
        <f>VLOOKUP(C36,courses_program1!A:E,4,0)</f>
        <v>2.1213217508376787</v>
      </c>
      <c r="G36" s="7">
        <f>VLOOKUP(C36,courses_program1!A:E,5,0)</f>
        <v>2.1213189362806726</v>
      </c>
      <c r="H36" s="2">
        <v>0</v>
      </c>
      <c r="I36" s="2" t="e">
        <f t="shared" ca="1" si="0"/>
        <v>#NAME?</v>
      </c>
    </row>
    <row r="37" spans="1:9" ht="15.75" customHeight="1" x14ac:dyDescent="0.2">
      <c r="A37" s="2">
        <v>23</v>
      </c>
      <c r="B37" s="2" t="s">
        <v>73</v>
      </c>
      <c r="C37" s="2" t="s">
        <v>112</v>
      </c>
      <c r="D37" s="7">
        <f>VLOOKUP(B37,courses_program1!A:E,4,0)</f>
        <v>-2.6787733008137673</v>
      </c>
      <c r="E37" s="7">
        <f>VLOOKUP(B37,courses_program1!A:E,5,0)</f>
        <v>6.4671611703163325</v>
      </c>
      <c r="F37" s="7">
        <f>VLOOKUP(C37,courses_program1!A:E,4,0)</f>
        <v>-1.4142107478132879</v>
      </c>
      <c r="G37" s="7">
        <f>VLOOKUP(C37,courses_program1!A:E,5,0)</f>
        <v>1.4142163769273006</v>
      </c>
      <c r="H37" s="2">
        <v>1</v>
      </c>
      <c r="I37" s="2" t="e">
        <f t="shared" ca="1" si="0"/>
        <v>#NAME?</v>
      </c>
    </row>
    <row r="38" spans="1:9" ht="15.75" customHeight="1" x14ac:dyDescent="0.2">
      <c r="A38" s="2">
        <v>23</v>
      </c>
      <c r="B38" s="2" t="s">
        <v>73</v>
      </c>
      <c r="C38" s="2" t="s">
        <v>31</v>
      </c>
      <c r="D38" s="7">
        <f>VLOOKUP(B38,courses_program1!A:E,4,0)</f>
        <v>-2.6787733008137673</v>
      </c>
      <c r="E38" s="7">
        <f>VLOOKUP(B38,courses_program1!A:E,5,0)</f>
        <v>6.4671611703163325</v>
      </c>
      <c r="F38" s="7">
        <f>VLOOKUP(C38,courses_program1!A:E,4,0)</f>
        <v>0.68282011229000983</v>
      </c>
      <c r="G38" s="7">
        <f>VLOOKUP(C38,courses_program1!A:E,5,0)</f>
        <v>3.4327476886966592</v>
      </c>
      <c r="H38" s="2">
        <v>1</v>
      </c>
      <c r="I38" s="2" t="e">
        <f t="shared" ca="1" si="0"/>
        <v>#NAME?</v>
      </c>
    </row>
    <row r="39" spans="1:9" ht="15.75" customHeight="1" x14ac:dyDescent="0.2">
      <c r="A39" s="2">
        <v>24</v>
      </c>
      <c r="B39" s="2" t="s">
        <v>76</v>
      </c>
      <c r="C39" s="2" t="s">
        <v>31</v>
      </c>
      <c r="D39" s="7">
        <f>VLOOKUP(B39,courses_program1!A:E,4,0)</f>
        <v>0.75474151221796537</v>
      </c>
      <c r="E39" s="7">
        <f>VLOOKUP(B39,courses_program1!A:E,5,0)</f>
        <v>7.6629214565813566</v>
      </c>
      <c r="F39" s="7">
        <f>VLOOKUP(C39,courses_program1!A:E,4,0)</f>
        <v>0.68282011229000983</v>
      </c>
      <c r="G39" s="7">
        <f>VLOOKUP(C39,courses_program1!A:E,5,0)</f>
        <v>3.4327476886966592</v>
      </c>
      <c r="H39" s="2">
        <v>1</v>
      </c>
      <c r="I39" s="2" t="e">
        <f t="shared" ca="1" si="0"/>
        <v>#NAME?</v>
      </c>
    </row>
    <row r="40" spans="1:9" ht="15.75" customHeight="1" x14ac:dyDescent="0.2">
      <c r="A40" s="2">
        <v>25</v>
      </c>
      <c r="B40" s="2" t="s">
        <v>76</v>
      </c>
      <c r="C40" s="2" t="s">
        <v>6</v>
      </c>
      <c r="D40" s="7">
        <f>VLOOKUP(B40,courses_program1!A:E,4,0)</f>
        <v>0.75474151221796537</v>
      </c>
      <c r="E40" s="7">
        <f>VLOOKUP(B40,courses_program1!A:E,5,0)</f>
        <v>7.6629214565813566</v>
      </c>
      <c r="F40" s="7">
        <f>VLOOKUP(C40,courses_program1!A:E,4,0)</f>
        <v>2.6535897933550656E-6</v>
      </c>
      <c r="G40" s="7">
        <f>VLOOKUP(C40,courses_program1!A:E,5,0)</f>
        <v>1.9999999999982396</v>
      </c>
      <c r="H40" s="2">
        <v>1</v>
      </c>
      <c r="I40" s="2" t="e">
        <f t="shared" ca="1" si="0"/>
        <v>#NAME?</v>
      </c>
    </row>
    <row r="41" spans="1:9" ht="15.75" customHeight="1" x14ac:dyDescent="0.2">
      <c r="A41" s="2">
        <v>25</v>
      </c>
      <c r="B41" s="2" t="s">
        <v>76</v>
      </c>
      <c r="C41" s="2" t="s">
        <v>20</v>
      </c>
      <c r="D41" s="7">
        <f>VLOOKUP(B41,courses_program1!A:E,4,0)</f>
        <v>0.75474151221796537</v>
      </c>
      <c r="E41" s="7">
        <f>VLOOKUP(B41,courses_program1!A:E,5,0)</f>
        <v>7.6629214565813566</v>
      </c>
      <c r="F41" s="7">
        <f>VLOOKUP(C41,courses_program1!A:E,4,0)</f>
        <v>-2.1213161217199321</v>
      </c>
      <c r="G41" s="7">
        <f>VLOOKUP(C41,courses_program1!A:E,5,0)</f>
        <v>2.1213245653909509</v>
      </c>
      <c r="H41" s="2">
        <v>0</v>
      </c>
      <c r="I41" s="2" t="e">
        <f t="shared" ca="1" si="0"/>
        <v>#NAME?</v>
      </c>
    </row>
    <row r="42" spans="1:9" ht="15.75" customHeight="1" x14ac:dyDescent="0.2">
      <c r="A42" s="2">
        <v>25</v>
      </c>
      <c r="B42" s="2" t="s">
        <v>76</v>
      </c>
      <c r="C42" s="2" t="s">
        <v>24</v>
      </c>
      <c r="D42" s="7">
        <f>VLOOKUP(B42,courses_program1!A:E,4,0)</f>
        <v>0.75474151221796537</v>
      </c>
      <c r="E42" s="7">
        <f>VLOOKUP(B42,courses_program1!A:E,5,0)</f>
        <v>7.6629214565813566</v>
      </c>
      <c r="F42" s="7">
        <f>VLOOKUP(C42,courses_program1!A:E,4,0)</f>
        <v>3.9803846900325983E-6</v>
      </c>
      <c r="G42" s="7">
        <f>VLOOKUP(C42,courses_program1!A:E,5,0)</f>
        <v>2.9999999999973594</v>
      </c>
      <c r="H42" s="2">
        <v>0</v>
      </c>
      <c r="I42" s="2" t="e">
        <f t="shared" ca="1" si="0"/>
        <v>#NAME?</v>
      </c>
    </row>
    <row r="43" spans="1:9" ht="15.75" customHeight="1" x14ac:dyDescent="0.2">
      <c r="A43" s="2">
        <v>26</v>
      </c>
      <c r="B43" s="2" t="s">
        <v>76</v>
      </c>
      <c r="C43" s="2" t="s">
        <v>36</v>
      </c>
      <c r="D43" s="7">
        <f>VLOOKUP(B43,courses_program1!A:E,4,0)</f>
        <v>0.75474151221796537</v>
      </c>
      <c r="E43" s="7">
        <f>VLOOKUP(B43,courses_program1!A:E,5,0)</f>
        <v>7.6629214565813566</v>
      </c>
      <c r="F43" s="7">
        <f>VLOOKUP(C43,courses_program1!A:E,4,0)</f>
        <v>0.87791157294429845</v>
      </c>
      <c r="G43" s="7">
        <f>VLOOKUP(C43,courses_program1!A:E,5,0)</f>
        <v>4.4135327426099904</v>
      </c>
      <c r="H43" s="2">
        <v>1</v>
      </c>
      <c r="I43" s="2" t="e">
        <f t="shared" ca="1" si="0"/>
        <v>#NAME?</v>
      </c>
    </row>
    <row r="44" spans="1:9" ht="15.75" customHeight="1" x14ac:dyDescent="0.2">
      <c r="A44" s="2">
        <v>27</v>
      </c>
      <c r="B44" s="2" t="s">
        <v>79</v>
      </c>
      <c r="C44" s="2" t="s">
        <v>39</v>
      </c>
      <c r="D44" s="7">
        <f>VLOOKUP(B44,courses_program1!A:E,4,0)</f>
        <v>2.235199958190671</v>
      </c>
      <c r="E44" s="7">
        <f>VLOOKUP(B44,courses_program1!A:E,5,0)</f>
        <v>7.3684381755501231</v>
      </c>
      <c r="F44" s="7">
        <f>VLOOKUP(C44,courses_program1!A:E,4,0)</f>
        <v>6.6339744833876643E-6</v>
      </c>
      <c r="G44" s="7">
        <f>VLOOKUP(C44,courses_program1!A:E,5,0)</f>
        <v>4.9999999999955991</v>
      </c>
      <c r="H44" s="2">
        <v>1</v>
      </c>
      <c r="I44" s="2" t="e">
        <f t="shared" ca="1" si="0"/>
        <v>#NAME?</v>
      </c>
    </row>
    <row r="45" spans="1:9" ht="15.75" customHeight="1" x14ac:dyDescent="0.2">
      <c r="A45" s="2">
        <v>28</v>
      </c>
      <c r="B45" s="2" t="s">
        <v>82</v>
      </c>
      <c r="C45" s="2" t="s">
        <v>36</v>
      </c>
      <c r="D45" s="7">
        <f>VLOOKUP(B45,courses_program1!A:E,4,0)</f>
        <v>1.3656402245800197</v>
      </c>
      <c r="E45" s="7">
        <f>VLOOKUP(B45,courses_program1!A:E,5,0)</f>
        <v>6.8654953773933185</v>
      </c>
      <c r="F45" s="7">
        <f>VLOOKUP(C45,courses_program1!A:E,4,0)</f>
        <v>0.87791157294429845</v>
      </c>
      <c r="G45" s="7">
        <f>VLOOKUP(C45,courses_program1!A:E,5,0)</f>
        <v>4.4135327426099904</v>
      </c>
      <c r="H45" s="2">
        <v>1</v>
      </c>
      <c r="I45" s="2" t="e">
        <f t="shared" ca="1" si="0"/>
        <v>#NAME?</v>
      </c>
    </row>
    <row r="46" spans="1:9" ht="15.75" customHeight="1" x14ac:dyDescent="0.2">
      <c r="A46" s="2">
        <v>30</v>
      </c>
      <c r="B46" s="2" t="s">
        <v>90</v>
      </c>
      <c r="C46" s="2" t="s">
        <v>39</v>
      </c>
      <c r="D46" s="7">
        <f>VLOOKUP(B46,courses_program1!A:E,4,0)</f>
        <v>-2.2351804053704658</v>
      </c>
      <c r="E46" s="7">
        <f>VLOOKUP(B46,courses_program1!A:E,5,0)</f>
        <v>7.368444106827976</v>
      </c>
      <c r="F46" s="7">
        <f>VLOOKUP(C46,courses_program1!A:E,4,0)</f>
        <v>6.6339744833876643E-6</v>
      </c>
      <c r="G46" s="7">
        <f>VLOOKUP(C46,courses_program1!A:E,5,0)</f>
        <v>4.9999999999955991</v>
      </c>
      <c r="H46" s="2">
        <v>1</v>
      </c>
      <c r="I46" s="2" t="e">
        <f t="shared" ca="1" si="0"/>
        <v>#NAME?</v>
      </c>
    </row>
    <row r="47" spans="1:9" ht="15.75" customHeight="1" x14ac:dyDescent="0.2">
      <c r="A47" s="2">
        <v>31</v>
      </c>
      <c r="B47" s="2" t="s">
        <v>93</v>
      </c>
      <c r="C47" s="2" t="s">
        <v>116</v>
      </c>
      <c r="D47" s="7">
        <f>VLOOKUP(B47,courses_program1!A:E,4,0)</f>
        <v>-0.78412589918456477</v>
      </c>
      <c r="E47" s="7">
        <f>VLOOKUP(B47,courses_program1!A:E,5,0)</f>
        <v>7.9614789187831176</v>
      </c>
      <c r="F47" s="7">
        <f>VLOOKUP(C47,courses_program1!A:E,4,0)</f>
        <v>-0.68281100318337595</v>
      </c>
      <c r="G47" s="7">
        <f>VLOOKUP(C47,courses_program1!A:E,5,0)</f>
        <v>3.4327495006090545</v>
      </c>
      <c r="H47" s="2">
        <v>1</v>
      </c>
      <c r="I47" s="2" t="e">
        <f t="shared" ca="1" si="0"/>
        <v>#NAME?</v>
      </c>
    </row>
    <row r="48" spans="1:9" ht="15.75" customHeight="1" x14ac:dyDescent="0.2">
      <c r="A48" s="2">
        <v>32</v>
      </c>
      <c r="B48" s="2" t="s">
        <v>93</v>
      </c>
      <c r="C48" s="2" t="s">
        <v>36</v>
      </c>
      <c r="D48" s="7">
        <f>VLOOKUP(B48,courses_program1!A:E,4,0)</f>
        <v>-0.78412589918456477</v>
      </c>
      <c r="E48" s="7">
        <f>VLOOKUP(B48,courses_program1!A:E,5,0)</f>
        <v>7.9614789187831176</v>
      </c>
      <c r="F48" s="7">
        <f>VLOOKUP(C48,courses_program1!A:E,4,0)</f>
        <v>0.87791157294429845</v>
      </c>
      <c r="G48" s="7">
        <f>VLOOKUP(C48,courses_program1!A:E,5,0)</f>
        <v>4.4135327426099904</v>
      </c>
      <c r="H48" s="2">
        <v>1</v>
      </c>
      <c r="I48" s="2" t="e">
        <f t="shared" ca="1" si="0"/>
        <v>#NAME?</v>
      </c>
    </row>
    <row r="49" spans="1:9" ht="15.75" customHeight="1" x14ac:dyDescent="0.2">
      <c r="A49" s="2">
        <v>33</v>
      </c>
      <c r="B49" s="2" t="s">
        <v>93</v>
      </c>
      <c r="C49" s="2" t="s">
        <v>112</v>
      </c>
      <c r="D49" s="7">
        <f>VLOOKUP(B49,courses_program1!A:E,4,0)</f>
        <v>-0.78412589918456477</v>
      </c>
      <c r="E49" s="7">
        <f>VLOOKUP(B49,courses_program1!A:E,5,0)</f>
        <v>7.9614789187831176</v>
      </c>
      <c r="F49" s="7">
        <f>VLOOKUP(C49,courses_program1!A:E,4,0)</f>
        <v>-1.4142107478132879</v>
      </c>
      <c r="G49" s="7">
        <f>VLOOKUP(C49,courses_program1!A:E,5,0)</f>
        <v>1.4142163769273006</v>
      </c>
      <c r="H49" s="2">
        <v>1</v>
      </c>
      <c r="I49" s="2" t="e">
        <f t="shared" ca="1" si="0"/>
        <v>#NAME?</v>
      </c>
    </row>
    <row r="50" spans="1:9" ht="15.75" customHeight="1" x14ac:dyDescent="0.2">
      <c r="A50" s="2">
        <v>34</v>
      </c>
      <c r="B50" s="2" t="s">
        <v>97</v>
      </c>
      <c r="C50" s="2" t="s">
        <v>93</v>
      </c>
      <c r="D50" s="7">
        <f>VLOOKUP(B50,courses_program1!A:E,4,0)</f>
        <v>1.1941154070097795E-5</v>
      </c>
      <c r="E50" s="7">
        <f>VLOOKUP(B50,courses_program1!A:E,5,0)</f>
        <v>8.9999999999920774</v>
      </c>
      <c r="F50" s="7">
        <f>VLOOKUP(C50,courses_program1!A:E,4,0)</f>
        <v>-0.78412589918456477</v>
      </c>
      <c r="G50" s="7">
        <f>VLOOKUP(C50,courses_program1!A:E,5,0)</f>
        <v>7.9614789187831176</v>
      </c>
      <c r="H50" s="2">
        <v>1</v>
      </c>
      <c r="I50" s="2" t="e">
        <f t="shared" ca="1" si="0"/>
        <v>#NAME?</v>
      </c>
    </row>
    <row r="51" spans="1:9" ht="15.75" customHeight="1" x14ac:dyDescent="0.2">
      <c r="A51" s="2">
        <v>36</v>
      </c>
      <c r="B51" s="2" t="s">
        <v>104</v>
      </c>
      <c r="C51" s="2" t="s">
        <v>100</v>
      </c>
      <c r="D51" s="7">
        <f>VLOOKUP(B51,courses_program1!A:E,4,0)</f>
        <v>-0.76536380023250494</v>
      </c>
      <c r="E51" s="7">
        <f>VLOOKUP(B51,courses_program1!A:E,5,0)</f>
        <v>1.8477603343760949</v>
      </c>
      <c r="F51" s="7">
        <f>VLOOKUP(C51,courses_program1!A:E,4,0)</f>
        <v>1.3267948966775328E-6</v>
      </c>
      <c r="G51" s="7">
        <f>VLOOKUP(C51,courses_program1!A:E,5,0)</f>
        <v>0.99999999999911982</v>
      </c>
      <c r="H51" s="2">
        <v>1</v>
      </c>
      <c r="I51" s="2" t="e">
        <f t="shared" ca="1" si="0"/>
        <v>#NAME?</v>
      </c>
    </row>
    <row r="52" spans="1:9" ht="15.75" customHeight="1" x14ac:dyDescent="0.2">
      <c r="A52" s="2">
        <v>37</v>
      </c>
      <c r="B52" s="2" t="s">
        <v>108</v>
      </c>
      <c r="C52" s="2" t="s">
        <v>104</v>
      </c>
      <c r="D52" s="7">
        <f>VLOOKUP(B52,courses_program1!A:E,4,0)</f>
        <v>-1.1480457003487574</v>
      </c>
      <c r="E52" s="7">
        <f>VLOOKUP(B52,courses_program1!A:E,5,0)</f>
        <v>2.7716405015641423</v>
      </c>
      <c r="F52" s="7">
        <f>VLOOKUP(C52,courses_program1!A:E,4,0)</f>
        <v>-0.76536380023250494</v>
      </c>
      <c r="G52" s="7">
        <f>VLOOKUP(C52,courses_program1!A:E,5,0)</f>
        <v>1.8477603343760949</v>
      </c>
      <c r="H52" s="2">
        <v>1</v>
      </c>
      <c r="I52" s="2" t="e">
        <f t="shared" ca="1" si="0"/>
        <v>#NAME?</v>
      </c>
    </row>
    <row r="53" spans="1:9" ht="15.75" customHeight="1" x14ac:dyDescent="0.2">
      <c r="A53" s="2">
        <v>38</v>
      </c>
      <c r="B53" s="2" t="s">
        <v>112</v>
      </c>
      <c r="C53" s="2" t="s">
        <v>100</v>
      </c>
      <c r="D53" s="7">
        <f>VLOOKUP(B53,courses_program1!A:E,4,0)</f>
        <v>-1.4142107478132879</v>
      </c>
      <c r="E53" s="7">
        <f>VLOOKUP(B53,courses_program1!A:E,5,0)</f>
        <v>1.4142163769273006</v>
      </c>
      <c r="F53" s="7">
        <f>VLOOKUP(C53,courses_program1!A:E,4,0)</f>
        <v>1.3267948966775328E-6</v>
      </c>
      <c r="G53" s="7">
        <f>VLOOKUP(C53,courses_program1!A:E,5,0)</f>
        <v>0.99999999999911982</v>
      </c>
      <c r="H53" s="2">
        <v>1</v>
      </c>
      <c r="I53" s="2" t="e">
        <f t="shared" ca="1" si="0"/>
        <v>#NAME?</v>
      </c>
    </row>
    <row r="54" spans="1:9" ht="15.75" customHeight="1" x14ac:dyDescent="0.2">
      <c r="A54" s="2">
        <v>39</v>
      </c>
      <c r="B54" s="2" t="s">
        <v>116</v>
      </c>
      <c r="C54" s="2" t="s">
        <v>108</v>
      </c>
      <c r="D54" s="7">
        <f>VLOOKUP(B54,courses_program1!A:E,4,0)</f>
        <v>-0.68281100318337595</v>
      </c>
      <c r="E54" s="7">
        <f>VLOOKUP(B54,courses_program1!A:E,5,0)</f>
        <v>3.4327495006090545</v>
      </c>
      <c r="F54" s="7">
        <f>VLOOKUP(C54,courses_program1!A:E,4,0)</f>
        <v>-1.1480457003487574</v>
      </c>
      <c r="G54" s="7">
        <f>VLOOKUP(C54,courses_program1!A:E,5,0)</f>
        <v>2.7716405015641423</v>
      </c>
      <c r="H54" s="2">
        <v>1</v>
      </c>
      <c r="I54" s="2" t="e">
        <f t="shared" ca="1" si="0"/>
        <v>#NAME?</v>
      </c>
    </row>
    <row r="55" spans="1:9" ht="15.75" customHeight="1" x14ac:dyDescent="0.2">
      <c r="A55" s="2">
        <v>41</v>
      </c>
      <c r="B55" s="2" t="s">
        <v>122</v>
      </c>
      <c r="C55" s="2" t="s">
        <v>119</v>
      </c>
      <c r="D55" s="7">
        <f>VLOOKUP(B55,courses_program1!A:E,4,0)</f>
        <v>1.4142145005584525</v>
      </c>
      <c r="E55" s="7">
        <f>VLOOKUP(B55,courses_program1!A:E,5,0)</f>
        <v>1.4142126241871151</v>
      </c>
      <c r="F55" s="7">
        <f>VLOOKUP(C55,courses_program1!A:E,4,0)</f>
        <v>0.70710725027922627</v>
      </c>
      <c r="G55" s="7">
        <f>VLOOKUP(C55,courses_program1!A:E,5,0)</f>
        <v>0.70710631209355757</v>
      </c>
      <c r="H55" s="2">
        <v>1</v>
      </c>
      <c r="I55" s="2" t="e">
        <f t="shared" ca="1" si="0"/>
        <v>#NAME?</v>
      </c>
    </row>
    <row r="56" spans="1:9" ht="15.75" customHeight="1" x14ac:dyDescent="0.2">
      <c r="D56" s="7"/>
      <c r="E56" s="7"/>
      <c r="F56" s="7"/>
      <c r="G56" s="7"/>
    </row>
    <row r="57" spans="1:9" ht="15.75" customHeight="1" x14ac:dyDescent="0.2">
      <c r="D57" s="7"/>
      <c r="E57" s="7"/>
      <c r="F57" s="7"/>
      <c r="G57" s="7"/>
    </row>
    <row r="58" spans="1:9" ht="15.75" customHeight="1" x14ac:dyDescent="0.2">
      <c r="D58" s="7"/>
      <c r="E58" s="7"/>
      <c r="F58" s="7"/>
      <c r="G58" s="7"/>
    </row>
    <row r="59" spans="1:9" ht="15.75" customHeight="1" x14ac:dyDescent="0.2">
      <c r="D59" s="7"/>
      <c r="E59" s="7"/>
      <c r="F59" s="7"/>
      <c r="G59" s="7"/>
    </row>
    <row r="60" spans="1:9" ht="15.75" customHeight="1" x14ac:dyDescent="0.2">
      <c r="D60" s="7"/>
      <c r="E60" s="7"/>
      <c r="F60" s="7"/>
      <c r="G60" s="7"/>
    </row>
    <row r="61" spans="1:9" ht="15.75" customHeight="1" x14ac:dyDescent="0.2">
      <c r="D61" s="7"/>
      <c r="E61" s="7"/>
      <c r="F61" s="7"/>
      <c r="G61" s="7"/>
    </row>
    <row r="62" spans="1:9" ht="15.75" customHeight="1" x14ac:dyDescent="0.2">
      <c r="D62" s="7"/>
      <c r="E62" s="7"/>
      <c r="F62" s="7"/>
      <c r="G62" s="7"/>
    </row>
    <row r="63" spans="1:9" ht="15.75" customHeight="1" x14ac:dyDescent="0.2">
      <c r="D63" s="7"/>
      <c r="E63" s="7"/>
      <c r="F63" s="7"/>
      <c r="G63" s="7"/>
    </row>
    <row r="64" spans="1:9" ht="15.75" customHeight="1" x14ac:dyDescent="0.2">
      <c r="D64" s="7"/>
      <c r="E64" s="7"/>
      <c r="F64" s="7"/>
      <c r="G64" s="7"/>
    </row>
    <row r="65" spans="4:8" ht="15.75" customHeight="1" x14ac:dyDescent="0.2">
      <c r="D65" s="7"/>
      <c r="E65" s="7"/>
      <c r="F65" s="7"/>
      <c r="G65" s="7"/>
    </row>
    <row r="66" spans="4:8" ht="15.75" customHeight="1" x14ac:dyDescent="0.2">
      <c r="D66" s="7"/>
      <c r="E66" s="7"/>
      <c r="F66" s="7"/>
      <c r="G66" s="7"/>
    </row>
    <row r="67" spans="4:8" ht="15.75" customHeight="1" x14ac:dyDescent="0.2">
      <c r="D67" s="7"/>
      <c r="E67" s="7"/>
      <c r="F67" s="7"/>
      <c r="G67" s="7"/>
    </row>
    <row r="68" spans="4:8" ht="15.75" customHeight="1" x14ac:dyDescent="0.2">
      <c r="D68" s="7"/>
      <c r="E68" s="7"/>
      <c r="F68" s="7"/>
      <c r="G68" s="7"/>
    </row>
    <row r="69" spans="4:8" ht="15.75" customHeight="1" x14ac:dyDescent="0.2">
      <c r="D69" s="7"/>
      <c r="E69" s="7"/>
      <c r="F69" s="7"/>
      <c r="G69" s="7"/>
    </row>
    <row r="70" spans="4:8" ht="15.75" customHeight="1" x14ac:dyDescent="0.2">
      <c r="D70" s="7"/>
      <c r="E70" s="7"/>
      <c r="F70" s="7"/>
      <c r="G70" s="7"/>
    </row>
    <row r="71" spans="4:8" ht="15.75" customHeight="1" x14ac:dyDescent="0.2">
      <c r="D71" s="7"/>
      <c r="E71" s="7"/>
      <c r="F71" s="7"/>
      <c r="G71" s="7"/>
    </row>
    <row r="72" spans="4:8" ht="15.75" customHeight="1" x14ac:dyDescent="0.2">
      <c r="D72" s="7"/>
      <c r="E72" s="7"/>
      <c r="F72" s="7"/>
      <c r="G72" s="7"/>
    </row>
    <row r="73" spans="4:8" ht="15.75" customHeight="1" x14ac:dyDescent="0.2">
      <c r="D73" s="7"/>
      <c r="E73" s="7"/>
      <c r="F73" s="7"/>
      <c r="G73" s="7"/>
    </row>
    <row r="74" spans="4:8" ht="15.75" customHeight="1" x14ac:dyDescent="0.2">
      <c r="D74" s="7"/>
      <c r="E74" s="7"/>
      <c r="F74" s="7"/>
      <c r="G74" s="7"/>
      <c r="H74" s="8"/>
    </row>
    <row r="75" spans="4:8" ht="15.75" customHeight="1" x14ac:dyDescent="0.2"/>
    <row r="76" spans="4:8" ht="15.75" customHeight="1" x14ac:dyDescent="0.2"/>
    <row r="77" spans="4:8" ht="15.75" customHeight="1" x14ac:dyDescent="0.2"/>
    <row r="78" spans="4:8" ht="15.75" customHeight="1" x14ac:dyDescent="0.2"/>
    <row r="79" spans="4:8" ht="15.75" customHeight="1" x14ac:dyDescent="0.2"/>
    <row r="80" spans="4:8"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1000"/>
  <sheetViews>
    <sheetView workbookViewId="0">
      <selection activeCell="B2" sqref="B2:C32"/>
    </sheetView>
  </sheetViews>
  <sheetFormatPr baseColWidth="10" defaultColWidth="14.5" defaultRowHeight="15" customHeight="1" x14ac:dyDescent="0.2"/>
  <cols>
    <col min="1" max="1" width="13.83203125" customWidth="1"/>
    <col min="2" max="6" width="10.6640625" customWidth="1"/>
  </cols>
  <sheetData>
    <row r="1" spans="1:6" x14ac:dyDescent="0.2">
      <c r="A1" s="1" t="s">
        <v>0</v>
      </c>
      <c r="B1" s="4" t="s">
        <v>184</v>
      </c>
      <c r="C1" s="4" t="s">
        <v>185</v>
      </c>
      <c r="D1" s="4" t="s">
        <v>186</v>
      </c>
      <c r="E1" s="4" t="s">
        <v>187</v>
      </c>
      <c r="F1" s="4" t="s">
        <v>188</v>
      </c>
    </row>
    <row r="2" spans="1:6" x14ac:dyDescent="0.2">
      <c r="A2" s="5" t="s">
        <v>6</v>
      </c>
      <c r="B2" s="5">
        <v>2</v>
      </c>
      <c r="C2" s="5">
        <v>20</v>
      </c>
      <c r="D2" s="7">
        <f t="shared" ref="D2:D32" si="0">B2*COS(C2/32*3.14159)</f>
        <v>-0.76536380023250494</v>
      </c>
      <c r="E2" s="7">
        <f t="shared" ref="E2:E32" si="1">B2*SIN(C2/32*3.14159)</f>
        <v>1.8477603343760949</v>
      </c>
      <c r="F2" s="4">
        <v>1</v>
      </c>
    </row>
    <row r="3" spans="1:6" x14ac:dyDescent="0.2">
      <c r="A3" s="5" t="s">
        <v>12</v>
      </c>
      <c r="B3" s="5">
        <v>2</v>
      </c>
      <c r="C3" s="5">
        <v>4</v>
      </c>
      <c r="D3" s="7">
        <f t="shared" si="0"/>
        <v>1.8477593188936845</v>
      </c>
      <c r="E3" s="7">
        <f t="shared" si="1"/>
        <v>0.76536625183081297</v>
      </c>
      <c r="F3" s="4">
        <v>1</v>
      </c>
    </row>
    <row r="4" spans="1:6" x14ac:dyDescent="0.2">
      <c r="A4" s="5" t="s">
        <v>16</v>
      </c>
      <c r="B4" s="5">
        <v>2</v>
      </c>
      <c r="C4" s="5">
        <v>24</v>
      </c>
      <c r="D4" s="7">
        <f t="shared" si="0"/>
        <v>-1.4142107478132879</v>
      </c>
      <c r="E4" s="7">
        <f t="shared" si="1"/>
        <v>1.4142163769273006</v>
      </c>
      <c r="F4" s="4">
        <v>0</v>
      </c>
    </row>
    <row r="5" spans="1:6" x14ac:dyDescent="0.2">
      <c r="A5" s="5" t="s">
        <v>20</v>
      </c>
      <c r="B5" s="5">
        <v>2</v>
      </c>
      <c r="C5" s="5">
        <v>28</v>
      </c>
      <c r="D5" s="7">
        <f t="shared" si="0"/>
        <v>-1.8477572879191049</v>
      </c>
      <c r="E5" s="7">
        <f t="shared" si="1"/>
        <v>0.76537115502338771</v>
      </c>
      <c r="F5" s="4">
        <v>0</v>
      </c>
    </row>
    <row r="6" spans="1:6" x14ac:dyDescent="0.2">
      <c r="A6" s="5" t="s">
        <v>24</v>
      </c>
      <c r="B6" s="5">
        <v>3.5</v>
      </c>
      <c r="C6" s="5">
        <v>24</v>
      </c>
      <c r="D6" s="7">
        <f t="shared" si="0"/>
        <v>-2.474868808673254</v>
      </c>
      <c r="E6" s="7">
        <f t="shared" si="1"/>
        <v>2.4748786596227763</v>
      </c>
      <c r="F6" s="4">
        <v>0</v>
      </c>
    </row>
    <row r="7" spans="1:6" x14ac:dyDescent="0.2">
      <c r="A7" s="5" t="s">
        <v>28</v>
      </c>
      <c r="B7" s="5">
        <v>2</v>
      </c>
      <c r="C7" s="5">
        <v>8</v>
      </c>
      <c r="D7" s="7">
        <f t="shared" si="0"/>
        <v>1.4142145005584525</v>
      </c>
      <c r="E7" s="7">
        <f t="shared" si="1"/>
        <v>1.4142126241871151</v>
      </c>
      <c r="F7" s="4">
        <v>1</v>
      </c>
    </row>
    <row r="8" spans="1:6" x14ac:dyDescent="0.2">
      <c r="A8" s="5" t="s">
        <v>31</v>
      </c>
      <c r="B8" s="5">
        <v>2</v>
      </c>
      <c r="C8" s="5">
        <v>12</v>
      </c>
      <c r="D8" s="7">
        <f t="shared" si="0"/>
        <v>0.76536870342777408</v>
      </c>
      <c r="E8" s="7">
        <f t="shared" si="1"/>
        <v>1.8477583034080209</v>
      </c>
      <c r="F8" s="4">
        <v>1</v>
      </c>
    </row>
    <row r="9" spans="1:6" x14ac:dyDescent="0.2">
      <c r="A9" s="4" t="s">
        <v>36</v>
      </c>
      <c r="B9" s="4">
        <v>4</v>
      </c>
      <c r="C9" s="4">
        <v>12</v>
      </c>
      <c r="D9" s="7">
        <f t="shared" si="0"/>
        <v>1.5307374068555482</v>
      </c>
      <c r="E9" s="7">
        <f t="shared" si="1"/>
        <v>3.6955166068160419</v>
      </c>
      <c r="F9" s="4">
        <v>1</v>
      </c>
    </row>
    <row r="10" spans="1:6" x14ac:dyDescent="0.2">
      <c r="A10" s="4" t="s">
        <v>39</v>
      </c>
      <c r="B10" s="4">
        <v>4</v>
      </c>
      <c r="C10" s="4">
        <v>20</v>
      </c>
      <c r="D10" s="7">
        <f t="shared" si="0"/>
        <v>-1.5307276004650099</v>
      </c>
      <c r="E10" s="7">
        <f t="shared" si="1"/>
        <v>3.6955206687521898</v>
      </c>
      <c r="F10" s="4">
        <v>1</v>
      </c>
    </row>
    <row r="11" spans="1:6" x14ac:dyDescent="0.2">
      <c r="A11" s="4" t="s">
        <v>43</v>
      </c>
      <c r="B11" s="4">
        <v>5</v>
      </c>
      <c r="C11" s="4">
        <v>24</v>
      </c>
      <c r="D11" s="7">
        <f t="shared" si="0"/>
        <v>-3.5355268695332196</v>
      </c>
      <c r="E11" s="7">
        <f t="shared" si="1"/>
        <v>3.5355409423182516</v>
      </c>
      <c r="F11" s="4">
        <v>0</v>
      </c>
    </row>
    <row r="12" spans="1:6" ht="16" x14ac:dyDescent="0.2">
      <c r="A12" s="4" t="s">
        <v>48</v>
      </c>
      <c r="B12" s="8">
        <v>5</v>
      </c>
      <c r="C12" s="8">
        <v>26</v>
      </c>
      <c r="D12" s="7">
        <f t="shared" si="0"/>
        <v>-4.1573420723400947</v>
      </c>
      <c r="E12" s="7">
        <f t="shared" si="1"/>
        <v>2.777860128507367</v>
      </c>
      <c r="F12" s="4">
        <v>0</v>
      </c>
    </row>
    <row r="13" spans="1:6" x14ac:dyDescent="0.2">
      <c r="A13" s="4" t="s">
        <v>53</v>
      </c>
      <c r="B13" s="4">
        <v>5</v>
      </c>
      <c r="C13" s="4">
        <v>14</v>
      </c>
      <c r="D13" s="7">
        <f t="shared" si="0"/>
        <v>0.97545730327144264</v>
      </c>
      <c r="E13" s="7">
        <f t="shared" si="1"/>
        <v>4.9039252695666562</v>
      </c>
      <c r="F13" s="4">
        <v>0</v>
      </c>
    </row>
    <row r="14" spans="1:6" x14ac:dyDescent="0.2">
      <c r="A14" s="4" t="s">
        <v>59</v>
      </c>
      <c r="B14" s="4">
        <v>5</v>
      </c>
      <c r="C14" s="4">
        <v>28</v>
      </c>
      <c r="D14" s="7">
        <f t="shared" si="0"/>
        <v>-4.6193932197977619</v>
      </c>
      <c r="E14" s="7">
        <f t="shared" si="1"/>
        <v>1.9134278875584694</v>
      </c>
      <c r="F14" s="4">
        <v>0</v>
      </c>
    </row>
    <row r="15" spans="1:6" x14ac:dyDescent="0.2">
      <c r="A15" s="4" t="s">
        <v>63</v>
      </c>
      <c r="B15" s="4">
        <v>3.5</v>
      </c>
      <c r="C15" s="4">
        <v>8</v>
      </c>
      <c r="D15" s="7">
        <f t="shared" si="0"/>
        <v>2.4748753759772919</v>
      </c>
      <c r="E15" s="7">
        <f t="shared" si="1"/>
        <v>2.4748720923274514</v>
      </c>
      <c r="F15" s="4">
        <v>0</v>
      </c>
    </row>
    <row r="16" spans="1:6" x14ac:dyDescent="0.2">
      <c r="A16" s="4" t="s">
        <v>66</v>
      </c>
      <c r="B16" s="4">
        <v>6</v>
      </c>
      <c r="C16" s="4">
        <v>16</v>
      </c>
      <c r="D16" s="7">
        <f t="shared" si="0"/>
        <v>7.9607693800651965E-6</v>
      </c>
      <c r="E16" s="7">
        <f t="shared" si="1"/>
        <v>5.9999999999947189</v>
      </c>
      <c r="F16" s="4">
        <v>1</v>
      </c>
    </row>
    <row r="17" spans="1:6" x14ac:dyDescent="0.2">
      <c r="A17" s="4" t="s">
        <v>70</v>
      </c>
      <c r="B17" s="4">
        <v>6</v>
      </c>
      <c r="C17" s="4">
        <v>12</v>
      </c>
      <c r="D17" s="7">
        <f t="shared" si="0"/>
        <v>2.296106110283322</v>
      </c>
      <c r="E17" s="7">
        <f t="shared" si="1"/>
        <v>5.5432749102240626</v>
      </c>
      <c r="F17" s="4">
        <v>0</v>
      </c>
    </row>
    <row r="18" spans="1:6" x14ac:dyDescent="0.2">
      <c r="A18" s="4" t="s">
        <v>73</v>
      </c>
      <c r="B18" s="4">
        <v>6</v>
      </c>
      <c r="C18" s="4">
        <v>20</v>
      </c>
      <c r="D18" s="7">
        <f t="shared" si="0"/>
        <v>-2.2960914006975148</v>
      </c>
      <c r="E18" s="7">
        <f t="shared" si="1"/>
        <v>5.5432810031282846</v>
      </c>
      <c r="F18" s="4">
        <v>0</v>
      </c>
    </row>
    <row r="19" spans="1:6" ht="16" x14ac:dyDescent="0.2">
      <c r="A19" s="4" t="s">
        <v>76</v>
      </c>
      <c r="B19" s="8">
        <v>7.5</v>
      </c>
      <c r="C19" s="8">
        <v>16</v>
      </c>
      <c r="D19" s="7">
        <f t="shared" si="0"/>
        <v>9.9509617250814956E-6</v>
      </c>
      <c r="E19" s="7">
        <f t="shared" si="1"/>
        <v>7.4999999999933991</v>
      </c>
      <c r="F19" s="4">
        <v>0</v>
      </c>
    </row>
    <row r="20" spans="1:6" ht="16" x14ac:dyDescent="0.2">
      <c r="A20" s="4" t="s">
        <v>79</v>
      </c>
      <c r="B20" s="8">
        <v>7.5</v>
      </c>
      <c r="C20" s="8">
        <v>24</v>
      </c>
      <c r="D20" s="7">
        <f t="shared" si="0"/>
        <v>-5.3032903042998294</v>
      </c>
      <c r="E20" s="7">
        <f t="shared" si="1"/>
        <v>5.3033114134773776</v>
      </c>
      <c r="F20" s="4">
        <v>0</v>
      </c>
    </row>
    <row r="21" spans="1:6" ht="15.75" customHeight="1" x14ac:dyDescent="0.2">
      <c r="A21" s="4" t="s">
        <v>82</v>
      </c>
      <c r="B21" s="8">
        <v>7.5</v>
      </c>
      <c r="C21" s="4">
        <v>20</v>
      </c>
      <c r="D21" s="7">
        <f t="shared" si="0"/>
        <v>-2.8701142508718935</v>
      </c>
      <c r="E21" s="7">
        <f t="shared" si="1"/>
        <v>6.929101253910356</v>
      </c>
      <c r="F21" s="4">
        <v>0</v>
      </c>
    </row>
    <row r="22" spans="1:6" ht="15.75" customHeight="1" x14ac:dyDescent="0.2">
      <c r="A22" s="4" t="s">
        <v>86</v>
      </c>
      <c r="B22" s="8">
        <v>7.5</v>
      </c>
      <c r="C22" s="8">
        <v>28</v>
      </c>
      <c r="D22" s="7">
        <f t="shared" si="0"/>
        <v>-6.9290898296966432</v>
      </c>
      <c r="E22" s="7">
        <f t="shared" si="1"/>
        <v>2.8701418313377038</v>
      </c>
      <c r="F22" s="4">
        <v>0</v>
      </c>
    </row>
    <row r="23" spans="1:6" ht="15.75" customHeight="1" x14ac:dyDescent="0.2">
      <c r="A23" s="4" t="s">
        <v>90</v>
      </c>
      <c r="B23" s="8">
        <v>7.5</v>
      </c>
      <c r="C23" s="8">
        <v>12</v>
      </c>
      <c r="D23" s="7">
        <f t="shared" si="0"/>
        <v>2.870132637854153</v>
      </c>
      <c r="E23" s="7">
        <f t="shared" si="1"/>
        <v>6.9290936377800785</v>
      </c>
      <c r="F23" s="4">
        <v>0</v>
      </c>
    </row>
    <row r="24" spans="1:6" ht="15.75" customHeight="1" x14ac:dyDescent="0.2">
      <c r="A24" s="4" t="s">
        <v>93</v>
      </c>
      <c r="B24" s="8">
        <v>7.5</v>
      </c>
      <c r="C24" s="8">
        <v>8</v>
      </c>
      <c r="D24" s="7">
        <f t="shared" si="0"/>
        <v>5.3033043770941974</v>
      </c>
      <c r="E24" s="7">
        <f t="shared" si="1"/>
        <v>5.3032973407016817</v>
      </c>
      <c r="F24" s="4">
        <v>0</v>
      </c>
    </row>
    <row r="25" spans="1:6" ht="15.75" customHeight="1" x14ac:dyDescent="0.2">
      <c r="A25" s="4" t="s">
        <v>97</v>
      </c>
      <c r="B25" s="8">
        <v>7.5</v>
      </c>
      <c r="C25" s="8">
        <v>4</v>
      </c>
      <c r="D25" s="7">
        <f t="shared" si="0"/>
        <v>6.9290974458513173</v>
      </c>
      <c r="E25" s="7">
        <f t="shared" si="1"/>
        <v>2.8701234443655488</v>
      </c>
      <c r="F25" s="4">
        <v>0</v>
      </c>
    </row>
    <row r="26" spans="1:6" ht="15.75" customHeight="1" x14ac:dyDescent="0.2">
      <c r="A26" s="4" t="s">
        <v>100</v>
      </c>
      <c r="B26" s="8">
        <v>9</v>
      </c>
      <c r="C26" s="8">
        <v>4</v>
      </c>
      <c r="D26" s="7">
        <f t="shared" si="0"/>
        <v>8.3149169350215804</v>
      </c>
      <c r="E26" s="7">
        <f t="shared" si="1"/>
        <v>3.4441481332386585</v>
      </c>
      <c r="F26" s="4">
        <v>0</v>
      </c>
    </row>
    <row r="27" spans="1:6" ht="15.75" customHeight="1" x14ac:dyDescent="0.2">
      <c r="A27" s="4" t="s">
        <v>104</v>
      </c>
      <c r="B27" s="8">
        <v>9</v>
      </c>
      <c r="C27" s="8">
        <v>8</v>
      </c>
      <c r="D27" s="7">
        <f t="shared" si="0"/>
        <v>6.3639652525130366</v>
      </c>
      <c r="E27" s="7">
        <f t="shared" si="1"/>
        <v>6.3639568088420182</v>
      </c>
      <c r="F27" s="4">
        <v>0</v>
      </c>
    </row>
    <row r="28" spans="1:6" ht="15.75" customHeight="1" x14ac:dyDescent="0.2">
      <c r="A28" s="4" t="s">
        <v>108</v>
      </c>
      <c r="B28" s="8">
        <v>9</v>
      </c>
      <c r="C28" s="8">
        <v>12</v>
      </c>
      <c r="D28" s="7">
        <f t="shared" si="0"/>
        <v>3.4441591654249835</v>
      </c>
      <c r="E28" s="7">
        <f t="shared" si="1"/>
        <v>8.3149123653360935</v>
      </c>
      <c r="F28" s="4">
        <v>0</v>
      </c>
    </row>
    <row r="29" spans="1:6" ht="15.75" customHeight="1" x14ac:dyDescent="0.2">
      <c r="A29" s="4" t="s">
        <v>112</v>
      </c>
      <c r="B29" s="8">
        <v>9</v>
      </c>
      <c r="C29" s="8">
        <v>16</v>
      </c>
      <c r="D29" s="7">
        <f t="shared" si="0"/>
        <v>1.1941154070097795E-5</v>
      </c>
      <c r="E29" s="7">
        <f t="shared" si="1"/>
        <v>8.9999999999920774</v>
      </c>
      <c r="F29" s="4">
        <v>0</v>
      </c>
    </row>
    <row r="30" spans="1:6" ht="15.75" customHeight="1" x14ac:dyDescent="0.2">
      <c r="A30" s="4" t="s">
        <v>116</v>
      </c>
      <c r="B30" s="8">
        <v>9</v>
      </c>
      <c r="C30" s="8">
        <v>20</v>
      </c>
      <c r="D30" s="7">
        <f t="shared" si="0"/>
        <v>-3.4441371010462722</v>
      </c>
      <c r="E30" s="7">
        <f t="shared" si="1"/>
        <v>8.3149215046924265</v>
      </c>
      <c r="F30" s="4">
        <v>0</v>
      </c>
    </row>
    <row r="31" spans="1:6" ht="15.75" customHeight="1" x14ac:dyDescent="0.2">
      <c r="A31" s="4" t="s">
        <v>119</v>
      </c>
      <c r="B31" s="8">
        <v>9</v>
      </c>
      <c r="C31" s="8">
        <v>24</v>
      </c>
      <c r="D31" s="7">
        <f t="shared" si="0"/>
        <v>-6.3639483651597955</v>
      </c>
      <c r="E31" s="7">
        <f t="shared" si="1"/>
        <v>6.3639736961728524</v>
      </c>
      <c r="F31" s="4">
        <v>0</v>
      </c>
    </row>
    <row r="32" spans="1:6" ht="15.75" customHeight="1" x14ac:dyDescent="0.2">
      <c r="A32" s="4" t="s">
        <v>122</v>
      </c>
      <c r="B32" s="8">
        <v>9</v>
      </c>
      <c r="C32" s="8">
        <v>28</v>
      </c>
      <c r="D32" s="7">
        <f t="shared" si="0"/>
        <v>-8.3149077956359712</v>
      </c>
      <c r="E32" s="7">
        <f t="shared" si="1"/>
        <v>3.4441701976052448</v>
      </c>
      <c r="F32" s="4">
        <v>0</v>
      </c>
    </row>
    <row r="33" spans="1:6" ht="15.75" customHeight="1" x14ac:dyDescent="0.2">
      <c r="A33" s="4"/>
      <c r="B33" s="4"/>
      <c r="C33" s="4"/>
      <c r="D33" s="10"/>
      <c r="E33" s="10"/>
      <c r="F33" s="4"/>
    </row>
    <row r="34" spans="1:6" ht="15.75" customHeight="1" x14ac:dyDescent="0.2">
      <c r="A34" s="4"/>
      <c r="B34" s="4"/>
      <c r="C34" s="4"/>
      <c r="D34" s="10"/>
      <c r="E34" s="10"/>
      <c r="F34" s="4"/>
    </row>
    <row r="35" spans="1:6" ht="15.75" customHeight="1" x14ac:dyDescent="0.2">
      <c r="A35" s="4"/>
      <c r="B35" s="4"/>
      <c r="C35" s="4"/>
      <c r="D35" s="10"/>
      <c r="E35" s="10"/>
      <c r="F35" s="4"/>
    </row>
    <row r="36" spans="1:6" ht="15.75" customHeight="1" x14ac:dyDescent="0.2">
      <c r="A36" s="4"/>
      <c r="B36" s="4"/>
      <c r="C36" s="4"/>
      <c r="D36" s="10"/>
      <c r="E36" s="10"/>
      <c r="F36" s="4"/>
    </row>
    <row r="37" spans="1:6" ht="15.75" customHeight="1" x14ac:dyDescent="0.2">
      <c r="A37" s="4"/>
      <c r="B37" s="4"/>
      <c r="C37" s="4"/>
      <c r="D37" s="10"/>
      <c r="E37" s="10"/>
      <c r="F37" s="4"/>
    </row>
    <row r="38" spans="1:6" ht="15.75" customHeight="1" x14ac:dyDescent="0.2">
      <c r="A38" s="4"/>
      <c r="B38" s="4"/>
      <c r="C38" s="4"/>
      <c r="D38" s="10"/>
      <c r="E38" s="10"/>
      <c r="F38" s="4"/>
    </row>
    <row r="39" spans="1:6" ht="15.75" customHeight="1" x14ac:dyDescent="0.2">
      <c r="A39" s="4"/>
      <c r="B39" s="8"/>
      <c r="C39" s="8"/>
      <c r="D39" s="10"/>
      <c r="E39" s="10"/>
      <c r="F39" s="4"/>
    </row>
    <row r="40" spans="1:6" ht="15.75" customHeight="1" x14ac:dyDescent="0.2">
      <c r="A40" s="4"/>
      <c r="B40" s="8"/>
      <c r="C40" s="8"/>
      <c r="D40" s="10"/>
      <c r="E40" s="10"/>
      <c r="F40" s="4"/>
    </row>
    <row r="41" spans="1:6" ht="15.75" customHeight="1" x14ac:dyDescent="0.2">
      <c r="A41" s="4"/>
      <c r="B41" s="4"/>
      <c r="C41" s="4"/>
      <c r="D41" s="10"/>
      <c r="E41" s="10"/>
      <c r="F41" s="4"/>
    </row>
    <row r="42" spans="1:6" ht="15.75" customHeight="1" x14ac:dyDescent="0.2">
      <c r="A42" s="4"/>
      <c r="B42" s="4"/>
      <c r="C42" s="4"/>
      <c r="D42" s="10"/>
      <c r="E42" s="10"/>
      <c r="F42" s="4"/>
    </row>
    <row r="43" spans="1:6" ht="15.75" customHeight="1" x14ac:dyDescent="0.2"/>
    <row r="44" spans="1:6" ht="15.75" customHeight="1" x14ac:dyDescent="0.2"/>
    <row r="45" spans="1:6" ht="15.75" customHeight="1" x14ac:dyDescent="0.2"/>
    <row r="46" spans="1:6" ht="15.75" customHeight="1" x14ac:dyDescent="0.2"/>
    <row r="47" spans="1:6" ht="15.75" customHeight="1" x14ac:dyDescent="0.2"/>
    <row r="48" spans="1:6"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I1000"/>
  <sheetViews>
    <sheetView workbookViewId="0"/>
  </sheetViews>
  <sheetFormatPr baseColWidth="10" defaultColWidth="14.5" defaultRowHeight="15" customHeight="1" x14ac:dyDescent="0.2"/>
  <cols>
    <col min="1" max="1" width="10.6640625" customWidth="1"/>
    <col min="2" max="2" width="13.83203125" customWidth="1"/>
    <col min="3" max="3" width="15" customWidth="1"/>
    <col min="4" max="7" width="10.6640625" customWidth="1"/>
    <col min="8" max="8" width="16.83203125" customWidth="1"/>
    <col min="9" max="9" width="21" customWidth="1"/>
  </cols>
  <sheetData>
    <row r="1" spans="1:9" x14ac:dyDescent="0.2">
      <c r="A1" s="5" t="s">
        <v>125</v>
      </c>
      <c r="B1" s="5" t="s">
        <v>0</v>
      </c>
      <c r="C1" s="9" t="s">
        <v>163</v>
      </c>
      <c r="D1" s="7" t="s">
        <v>189</v>
      </c>
      <c r="E1" s="7" t="s">
        <v>190</v>
      </c>
      <c r="F1" s="7" t="s">
        <v>191</v>
      </c>
      <c r="G1" s="7" t="s">
        <v>192</v>
      </c>
      <c r="H1" s="7" t="s">
        <v>193</v>
      </c>
      <c r="I1" s="7" t="s">
        <v>194</v>
      </c>
    </row>
    <row r="2" spans="1:9" x14ac:dyDescent="0.2">
      <c r="A2" s="2">
        <v>1</v>
      </c>
      <c r="B2" s="2" t="s">
        <v>6</v>
      </c>
      <c r="C2" s="2" t="s">
        <v>100</v>
      </c>
      <c r="D2" s="7">
        <f>VLOOKUP(B2,courses_program1!A:E,4,0)</f>
        <v>2.6535897933550656E-6</v>
      </c>
      <c r="E2" s="7">
        <f>VLOOKUP(B2,courses_program1!A:E,5,0)</f>
        <v>1.9999999999982396</v>
      </c>
      <c r="F2" s="7">
        <f>VLOOKUP(C2,courses_program1!A:E,4,0)</f>
        <v>1.3267948966775328E-6</v>
      </c>
      <c r="G2" s="7">
        <f>VLOOKUP(C2,courses_program1!A:E,5,0)</f>
        <v>0.99999999999911982</v>
      </c>
      <c r="H2" s="2">
        <v>1</v>
      </c>
      <c r="I2" s="2" t="e">
        <f t="shared" ref="I2:I55" ca="1" si="0">_xludf.CONCAT(B2, C2)</f>
        <v>#NAME?</v>
      </c>
    </row>
    <row r="3" spans="1:9" x14ac:dyDescent="0.2">
      <c r="A3" s="2">
        <v>2</v>
      </c>
      <c r="B3" s="2" t="s">
        <v>12</v>
      </c>
      <c r="C3" s="2" t="s">
        <v>119</v>
      </c>
      <c r="D3" s="7">
        <f>VLOOKUP(B3,courses_program1!A:E,4,0)</f>
        <v>0.76536870342777408</v>
      </c>
      <c r="E3" s="7">
        <f>VLOOKUP(B3,courses_program1!A:E,5,0)</f>
        <v>1.8477583034080209</v>
      </c>
      <c r="F3" s="7">
        <f>VLOOKUP(C3,courses_program1!A:E,4,0)</f>
        <v>0.70710725027922627</v>
      </c>
      <c r="G3" s="7">
        <f>VLOOKUP(C3,courses_program1!A:E,5,0)</f>
        <v>0.70710631209355757</v>
      </c>
      <c r="H3" s="2">
        <v>1</v>
      </c>
      <c r="I3" s="2" t="e">
        <f t="shared" ca="1" si="0"/>
        <v>#NAME?</v>
      </c>
    </row>
    <row r="4" spans="1:9" x14ac:dyDescent="0.2">
      <c r="A4" s="2">
        <v>4</v>
      </c>
      <c r="B4" s="2" t="s">
        <v>20</v>
      </c>
      <c r="C4" s="2" t="s">
        <v>104</v>
      </c>
      <c r="D4" s="7">
        <f>VLOOKUP(B4,courses_program1!A:E,4,0)</f>
        <v>-2.1213161217199321</v>
      </c>
      <c r="E4" s="7">
        <f>VLOOKUP(B4,courses_program1!A:E,5,0)</f>
        <v>2.1213245653909509</v>
      </c>
      <c r="F4" s="7">
        <f>VLOOKUP(C4,courses_program1!A:E,4,0)</f>
        <v>-0.76536380023250494</v>
      </c>
      <c r="G4" s="7">
        <f>VLOOKUP(C4,courses_program1!A:E,5,0)</f>
        <v>1.8477603343760949</v>
      </c>
      <c r="H4" s="2">
        <v>1</v>
      </c>
      <c r="I4" s="2" t="e">
        <f t="shared" ca="1" si="0"/>
        <v>#NAME?</v>
      </c>
    </row>
    <row r="5" spans="1:9" x14ac:dyDescent="0.2">
      <c r="A5" s="2">
        <v>5</v>
      </c>
      <c r="B5" s="2" t="s">
        <v>24</v>
      </c>
      <c r="C5" s="2" t="s">
        <v>6</v>
      </c>
      <c r="D5" s="7">
        <f>VLOOKUP(B5,courses_program1!A:E,4,0)</f>
        <v>3.9803846900325983E-6</v>
      </c>
      <c r="E5" s="7">
        <f>VLOOKUP(B5,courses_program1!A:E,5,0)</f>
        <v>2.9999999999973594</v>
      </c>
      <c r="F5" s="7">
        <f>VLOOKUP(C5,courses_program1!A:E,4,0)</f>
        <v>2.6535897933550656E-6</v>
      </c>
      <c r="G5" s="7">
        <f>VLOOKUP(C5,courses_program1!A:E,5,0)</f>
        <v>1.9999999999982396</v>
      </c>
      <c r="H5" s="2">
        <v>1</v>
      </c>
      <c r="I5" s="2" t="e">
        <f t="shared" ca="1" si="0"/>
        <v>#NAME?</v>
      </c>
    </row>
    <row r="6" spans="1:9" x14ac:dyDescent="0.2">
      <c r="A6" s="2">
        <v>5</v>
      </c>
      <c r="B6" s="2" t="s">
        <v>24</v>
      </c>
      <c r="C6" s="2" t="s">
        <v>16</v>
      </c>
      <c r="D6" s="7">
        <f>VLOOKUP(B6,courses_program1!A:E,4,0)</f>
        <v>3.9803846900325983E-6</v>
      </c>
      <c r="E6" s="7">
        <f>VLOOKUP(B6,courses_program1!A:E,5,0)</f>
        <v>2.9999999999973594</v>
      </c>
      <c r="F6" s="7">
        <f>VLOOKUP(C6,courses_program1!A:E,4,0)</f>
        <v>-0.70710537390664396</v>
      </c>
      <c r="G6" s="7">
        <f>VLOOKUP(C6,courses_program1!A:E,5,0)</f>
        <v>0.70710818846365031</v>
      </c>
      <c r="H6" s="2">
        <v>0</v>
      </c>
      <c r="I6" s="2" t="e">
        <f t="shared" ca="1" si="0"/>
        <v>#NAME?</v>
      </c>
    </row>
    <row r="7" spans="1:9" x14ac:dyDescent="0.2">
      <c r="A7" s="2">
        <v>5</v>
      </c>
      <c r="B7" s="2" t="s">
        <v>24</v>
      </c>
      <c r="C7" s="2" t="s">
        <v>20</v>
      </c>
      <c r="D7" s="7">
        <f>VLOOKUP(B7,courses_program1!A:E,4,0)</f>
        <v>3.9803846900325983E-6</v>
      </c>
      <c r="E7" s="7">
        <f>VLOOKUP(B7,courses_program1!A:E,5,0)</f>
        <v>2.9999999999973594</v>
      </c>
      <c r="F7" s="7">
        <f>VLOOKUP(C7,courses_program1!A:E,4,0)</f>
        <v>-2.1213161217199321</v>
      </c>
      <c r="G7" s="7">
        <f>VLOOKUP(C7,courses_program1!A:E,5,0)</f>
        <v>2.1213245653909509</v>
      </c>
      <c r="H7" s="2">
        <v>0</v>
      </c>
      <c r="I7" s="2" t="e">
        <f t="shared" ca="1" si="0"/>
        <v>#NAME?</v>
      </c>
    </row>
    <row r="8" spans="1:9" x14ac:dyDescent="0.2">
      <c r="A8" s="2">
        <v>6</v>
      </c>
      <c r="B8" s="2" t="s">
        <v>28</v>
      </c>
      <c r="C8" s="2" t="s">
        <v>12</v>
      </c>
      <c r="D8" s="7">
        <f>VLOOKUP(B8,courses_program1!A:E,4,0)</f>
        <v>2.1213217508376787</v>
      </c>
      <c r="E8" s="7">
        <f>VLOOKUP(B8,courses_program1!A:E,5,0)</f>
        <v>2.1213189362806726</v>
      </c>
      <c r="F8" s="7">
        <f>VLOOKUP(C8,courses_program1!A:E,4,0)</f>
        <v>0.76536870342777408</v>
      </c>
      <c r="G8" s="7">
        <f>VLOOKUP(C8,courses_program1!A:E,5,0)</f>
        <v>1.8477583034080209</v>
      </c>
      <c r="H8" s="2">
        <v>1</v>
      </c>
      <c r="I8" s="2" t="e">
        <f t="shared" ca="1" si="0"/>
        <v>#NAME?</v>
      </c>
    </row>
    <row r="9" spans="1:9" x14ac:dyDescent="0.2">
      <c r="A9" s="2">
        <v>7</v>
      </c>
      <c r="B9" s="2" t="s">
        <v>28</v>
      </c>
      <c r="C9" s="2" t="s">
        <v>100</v>
      </c>
      <c r="D9" s="7">
        <f>VLOOKUP(B9,courses_program1!A:E,4,0)</f>
        <v>2.1213217508376787</v>
      </c>
      <c r="E9" s="7">
        <f>VLOOKUP(B9,courses_program1!A:E,5,0)</f>
        <v>2.1213189362806726</v>
      </c>
      <c r="F9" s="7">
        <f>VLOOKUP(C9,courses_program1!A:E,4,0)</f>
        <v>1.3267948966775328E-6</v>
      </c>
      <c r="G9" s="7">
        <f>VLOOKUP(C9,courses_program1!A:E,5,0)</f>
        <v>0.99999999999911982</v>
      </c>
      <c r="H9" s="2">
        <v>1</v>
      </c>
      <c r="I9" s="2" t="e">
        <f t="shared" ca="1" si="0"/>
        <v>#NAME?</v>
      </c>
    </row>
    <row r="10" spans="1:9" x14ac:dyDescent="0.2">
      <c r="A10" s="2">
        <v>8</v>
      </c>
      <c r="B10" s="2" t="s">
        <v>31</v>
      </c>
      <c r="C10" s="2" t="s">
        <v>108</v>
      </c>
      <c r="D10" s="7">
        <f>VLOOKUP(B10,courses_program1!A:E,4,0)</f>
        <v>0.68282011229000983</v>
      </c>
      <c r="E10" s="7">
        <f>VLOOKUP(B10,courses_program1!A:E,5,0)</f>
        <v>3.4327476886966592</v>
      </c>
      <c r="F10" s="7">
        <f>VLOOKUP(C10,courses_program1!A:E,4,0)</f>
        <v>-1.1480457003487574</v>
      </c>
      <c r="G10" s="7">
        <f>VLOOKUP(C10,courses_program1!A:E,5,0)</f>
        <v>2.7716405015641423</v>
      </c>
      <c r="H10" s="2">
        <v>1</v>
      </c>
      <c r="I10" s="2" t="e">
        <f t="shared" ca="1" si="0"/>
        <v>#NAME?</v>
      </c>
    </row>
    <row r="11" spans="1:9" x14ac:dyDescent="0.2">
      <c r="A11" s="2">
        <v>9</v>
      </c>
      <c r="B11" s="2" t="s">
        <v>36</v>
      </c>
      <c r="C11" s="2" t="s">
        <v>6</v>
      </c>
      <c r="D11" s="7">
        <f>VLOOKUP(B11,courses_program1!A:E,4,0)</f>
        <v>0.87791157294429845</v>
      </c>
      <c r="E11" s="7">
        <f>VLOOKUP(B11,courses_program1!A:E,5,0)</f>
        <v>4.4135327426099904</v>
      </c>
      <c r="F11" s="7">
        <f>VLOOKUP(C11,courses_program1!A:E,4,0)</f>
        <v>2.6535897933550656E-6</v>
      </c>
      <c r="G11" s="7">
        <f>VLOOKUP(C11,courses_program1!A:E,5,0)</f>
        <v>1.9999999999982396</v>
      </c>
      <c r="H11" s="2">
        <v>1</v>
      </c>
      <c r="I11" s="2" t="e">
        <f t="shared" ca="1" si="0"/>
        <v>#NAME?</v>
      </c>
    </row>
    <row r="12" spans="1:9" x14ac:dyDescent="0.2">
      <c r="A12" s="2">
        <v>9</v>
      </c>
      <c r="B12" s="2" t="s">
        <v>36</v>
      </c>
      <c r="C12" s="2" t="s">
        <v>16</v>
      </c>
      <c r="D12" s="7">
        <f>VLOOKUP(B12,courses_program1!A:E,4,0)</f>
        <v>0.87791157294429845</v>
      </c>
      <c r="E12" s="7">
        <f>VLOOKUP(B12,courses_program1!A:E,5,0)</f>
        <v>4.4135327426099904</v>
      </c>
      <c r="F12" s="7">
        <f>VLOOKUP(C12,courses_program1!A:E,4,0)</f>
        <v>-0.70710537390664396</v>
      </c>
      <c r="G12" s="7">
        <f>VLOOKUP(C12,courses_program1!A:E,5,0)</f>
        <v>0.70710818846365031</v>
      </c>
      <c r="H12" s="2">
        <v>0</v>
      </c>
      <c r="I12" s="2" t="e">
        <f t="shared" ca="1" si="0"/>
        <v>#NAME?</v>
      </c>
    </row>
    <row r="13" spans="1:9" x14ac:dyDescent="0.2">
      <c r="A13" s="2">
        <v>9</v>
      </c>
      <c r="B13" s="2" t="s">
        <v>36</v>
      </c>
      <c r="C13" s="2" t="s">
        <v>20</v>
      </c>
      <c r="D13" s="7">
        <f>VLOOKUP(B13,courses_program1!A:E,4,0)</f>
        <v>0.87791157294429845</v>
      </c>
      <c r="E13" s="7">
        <f>VLOOKUP(B13,courses_program1!A:E,5,0)</f>
        <v>4.4135327426099904</v>
      </c>
      <c r="F13" s="7">
        <f>VLOOKUP(C13,courses_program1!A:E,4,0)</f>
        <v>-2.1213161217199321</v>
      </c>
      <c r="G13" s="7">
        <f>VLOOKUP(C13,courses_program1!A:E,5,0)</f>
        <v>2.1213245653909509</v>
      </c>
      <c r="H13" s="2">
        <v>0</v>
      </c>
      <c r="I13" s="2" t="e">
        <f t="shared" ca="1" si="0"/>
        <v>#NAME?</v>
      </c>
    </row>
    <row r="14" spans="1:9" x14ac:dyDescent="0.2">
      <c r="A14" s="2">
        <v>9</v>
      </c>
      <c r="B14" s="2" t="s">
        <v>36</v>
      </c>
      <c r="C14" s="2" t="s">
        <v>31</v>
      </c>
      <c r="D14" s="7">
        <f>VLOOKUP(B14,courses_program1!A:E,4,0)</f>
        <v>0.87791157294429845</v>
      </c>
      <c r="E14" s="7">
        <f>VLOOKUP(B14,courses_program1!A:E,5,0)</f>
        <v>4.4135327426099904</v>
      </c>
      <c r="F14" s="7">
        <f>VLOOKUP(C14,courses_program1!A:E,4,0)</f>
        <v>0.68282011229000983</v>
      </c>
      <c r="G14" s="7">
        <f>VLOOKUP(C14,courses_program1!A:E,5,0)</f>
        <v>3.4327476886966592</v>
      </c>
      <c r="H14" s="2">
        <v>1</v>
      </c>
      <c r="I14" s="2" t="e">
        <f t="shared" ca="1" si="0"/>
        <v>#NAME?</v>
      </c>
    </row>
    <row r="15" spans="1:9" x14ac:dyDescent="0.2">
      <c r="A15" s="2">
        <v>9</v>
      </c>
      <c r="B15" s="2" t="s">
        <v>36</v>
      </c>
      <c r="C15" s="2" t="s">
        <v>12</v>
      </c>
      <c r="D15" s="7">
        <f>VLOOKUP(B15,courses_program1!A:E,4,0)</f>
        <v>0.87791157294429845</v>
      </c>
      <c r="E15" s="7">
        <f>VLOOKUP(B15,courses_program1!A:E,5,0)</f>
        <v>4.4135327426099904</v>
      </c>
      <c r="F15" s="7">
        <f>VLOOKUP(C15,courses_program1!A:E,4,0)</f>
        <v>0.76536870342777408</v>
      </c>
      <c r="G15" s="7">
        <f>VLOOKUP(C15,courses_program1!A:E,5,0)</f>
        <v>1.8477583034080209</v>
      </c>
      <c r="H15" s="2">
        <v>1</v>
      </c>
      <c r="I15" s="2" t="e">
        <f t="shared" ca="1" si="0"/>
        <v>#NAME?</v>
      </c>
    </row>
    <row r="16" spans="1:9" x14ac:dyDescent="0.2">
      <c r="A16" s="2">
        <v>9</v>
      </c>
      <c r="B16" s="2" t="s">
        <v>36</v>
      </c>
      <c r="C16" s="2" t="s">
        <v>122</v>
      </c>
      <c r="D16" s="7">
        <f>VLOOKUP(B16,courses_program1!A:E,4,0)</f>
        <v>0.87791157294429845</v>
      </c>
      <c r="E16" s="7">
        <f>VLOOKUP(B16,courses_program1!A:E,5,0)</f>
        <v>4.4135327426099904</v>
      </c>
      <c r="F16" s="7">
        <f>VLOOKUP(C16,courses_program1!A:E,4,0)</f>
        <v>1.4142145005584525</v>
      </c>
      <c r="G16" s="7">
        <f>VLOOKUP(C16,courses_program1!A:E,5,0)</f>
        <v>1.4142126241871151</v>
      </c>
      <c r="H16" s="2">
        <v>1</v>
      </c>
      <c r="I16" s="2" t="e">
        <f t="shared" ca="1" si="0"/>
        <v>#NAME?</v>
      </c>
    </row>
    <row r="17" spans="1:9" x14ac:dyDescent="0.2">
      <c r="A17" s="2">
        <v>10</v>
      </c>
      <c r="B17" s="2" t="s">
        <v>39</v>
      </c>
      <c r="C17" s="2" t="s">
        <v>112</v>
      </c>
      <c r="D17" s="7">
        <f>VLOOKUP(B17,courses_program1!A:E,4,0)</f>
        <v>6.6339744833876643E-6</v>
      </c>
      <c r="E17" s="7">
        <f>VLOOKUP(B17,courses_program1!A:E,5,0)</f>
        <v>4.9999999999955991</v>
      </c>
      <c r="F17" s="7">
        <f>VLOOKUP(C17,courses_program1!A:E,4,0)</f>
        <v>-1.4142107478132879</v>
      </c>
      <c r="G17" s="7">
        <f>VLOOKUP(C17,courses_program1!A:E,5,0)</f>
        <v>1.4142163769273006</v>
      </c>
      <c r="H17" s="2">
        <v>1</v>
      </c>
      <c r="I17" s="2" t="e">
        <f t="shared" ca="1" si="0"/>
        <v>#NAME?</v>
      </c>
    </row>
    <row r="18" spans="1:9" x14ac:dyDescent="0.2">
      <c r="A18" s="2">
        <v>11</v>
      </c>
      <c r="B18" s="2" t="s">
        <v>39</v>
      </c>
      <c r="C18" s="2" t="s">
        <v>6</v>
      </c>
      <c r="D18" s="7">
        <f>VLOOKUP(B18,courses_program1!A:E,4,0)</f>
        <v>6.6339744833876643E-6</v>
      </c>
      <c r="E18" s="7">
        <f>VLOOKUP(B18,courses_program1!A:E,5,0)</f>
        <v>4.9999999999955991</v>
      </c>
      <c r="F18" s="7">
        <f>VLOOKUP(C18,courses_program1!A:E,4,0)</f>
        <v>2.6535897933550656E-6</v>
      </c>
      <c r="G18" s="7">
        <f>VLOOKUP(C18,courses_program1!A:E,5,0)</f>
        <v>1.9999999999982396</v>
      </c>
      <c r="H18" s="2">
        <v>1</v>
      </c>
      <c r="I18" s="2" t="e">
        <f t="shared" ca="1" si="0"/>
        <v>#NAME?</v>
      </c>
    </row>
    <row r="19" spans="1:9" x14ac:dyDescent="0.2">
      <c r="A19" s="2">
        <v>11</v>
      </c>
      <c r="B19" s="2" t="s">
        <v>39</v>
      </c>
      <c r="C19" s="2" t="s">
        <v>20</v>
      </c>
      <c r="D19" s="7">
        <f>VLOOKUP(B19,courses_program1!A:E,4,0)</f>
        <v>6.6339744833876643E-6</v>
      </c>
      <c r="E19" s="7">
        <f>VLOOKUP(B19,courses_program1!A:E,5,0)</f>
        <v>4.9999999999955991</v>
      </c>
      <c r="F19" s="7">
        <f>VLOOKUP(C19,courses_program1!A:E,4,0)</f>
        <v>-2.1213161217199321</v>
      </c>
      <c r="G19" s="7">
        <f>VLOOKUP(C19,courses_program1!A:E,5,0)</f>
        <v>2.1213245653909509</v>
      </c>
      <c r="H19" s="2">
        <v>0</v>
      </c>
      <c r="I19" s="2" t="e">
        <f t="shared" ca="1" si="0"/>
        <v>#NAME?</v>
      </c>
    </row>
    <row r="20" spans="1:9" x14ac:dyDescent="0.2">
      <c r="A20" s="2">
        <v>11</v>
      </c>
      <c r="B20" s="2" t="s">
        <v>39</v>
      </c>
      <c r="C20" s="2" t="s">
        <v>24</v>
      </c>
      <c r="D20" s="7">
        <f>VLOOKUP(B20,courses_program1!A:E,4,0)</f>
        <v>6.6339744833876643E-6</v>
      </c>
      <c r="E20" s="7">
        <f>VLOOKUP(B20,courses_program1!A:E,5,0)</f>
        <v>4.9999999999955991</v>
      </c>
      <c r="F20" s="7">
        <f>VLOOKUP(C20,courses_program1!A:E,4,0)</f>
        <v>3.9803846900325983E-6</v>
      </c>
      <c r="G20" s="7">
        <f>VLOOKUP(C20,courses_program1!A:E,5,0)</f>
        <v>2.9999999999973594</v>
      </c>
      <c r="H20" s="2">
        <v>0</v>
      </c>
      <c r="I20" s="2" t="e">
        <f t="shared" ca="1" si="0"/>
        <v>#NAME?</v>
      </c>
    </row>
    <row r="21" spans="1:9" ht="15.75" customHeight="1" x14ac:dyDescent="0.2">
      <c r="A21" s="2">
        <v>12</v>
      </c>
      <c r="B21" s="2" t="s">
        <v>39</v>
      </c>
      <c r="C21" s="2" t="s">
        <v>31</v>
      </c>
      <c r="D21" s="7">
        <f>VLOOKUP(B21,courses_program1!A:E,4,0)</f>
        <v>6.6339744833876643E-6</v>
      </c>
      <c r="E21" s="7">
        <f>VLOOKUP(B21,courses_program1!A:E,5,0)</f>
        <v>4.9999999999955991</v>
      </c>
      <c r="F21" s="7">
        <f>VLOOKUP(C21,courses_program1!A:E,4,0)</f>
        <v>0.68282011229000983</v>
      </c>
      <c r="G21" s="7">
        <f>VLOOKUP(C21,courses_program1!A:E,5,0)</f>
        <v>3.4327476886966592</v>
      </c>
      <c r="H21" s="2">
        <v>1</v>
      </c>
      <c r="I21" s="2" t="e">
        <f t="shared" ca="1" si="0"/>
        <v>#NAME?</v>
      </c>
    </row>
    <row r="22" spans="1:9" ht="15.75" customHeight="1" x14ac:dyDescent="0.2">
      <c r="A22" s="2">
        <v>13</v>
      </c>
      <c r="B22" s="2" t="s">
        <v>43</v>
      </c>
      <c r="C22" s="2" t="s">
        <v>39</v>
      </c>
      <c r="D22" s="7">
        <f>VLOOKUP(B22,courses_program1!A:E,4,0)</f>
        <v>7.9607693800651965E-6</v>
      </c>
      <c r="E22" s="7">
        <f>VLOOKUP(B22,courses_program1!A:E,5,0)</f>
        <v>5.9999999999947189</v>
      </c>
      <c r="F22" s="7">
        <f>VLOOKUP(C22,courses_program1!A:E,4,0)</f>
        <v>6.6339744833876643E-6</v>
      </c>
      <c r="G22" s="7">
        <f>VLOOKUP(C22,courses_program1!A:E,5,0)</f>
        <v>4.9999999999955991</v>
      </c>
      <c r="H22" s="2">
        <v>1</v>
      </c>
      <c r="I22" s="2" t="e">
        <f t="shared" ca="1" si="0"/>
        <v>#NAME?</v>
      </c>
    </row>
    <row r="23" spans="1:9" ht="15.75" customHeight="1" x14ac:dyDescent="0.2">
      <c r="A23" s="2">
        <v>14</v>
      </c>
      <c r="B23" s="2" t="s">
        <v>53</v>
      </c>
      <c r="C23" s="2" t="s">
        <v>36</v>
      </c>
      <c r="D23" s="7">
        <f>VLOOKUP(B23,courses_program1!A:E,4,0)</f>
        <v>1.336396962102385</v>
      </c>
      <c r="E23" s="7">
        <f>VLOOKUP(B23,courses_program1!A:E,5,0)</f>
        <v>5.3351703964993957</v>
      </c>
      <c r="F23" s="7">
        <f>VLOOKUP(C23,courses_program1!A:E,4,0)</f>
        <v>0.87791157294429845</v>
      </c>
      <c r="G23" s="7">
        <f>VLOOKUP(C23,courses_program1!A:E,5,0)</f>
        <v>4.4135327426099904</v>
      </c>
      <c r="H23" s="2">
        <v>1</v>
      </c>
      <c r="I23" s="2" t="e">
        <f t="shared" ca="1" si="0"/>
        <v>#NAME?</v>
      </c>
    </row>
    <row r="24" spans="1:9" ht="15.75" customHeight="1" x14ac:dyDescent="0.2">
      <c r="A24" s="2">
        <v>15</v>
      </c>
      <c r="B24" s="2" t="s">
        <v>59</v>
      </c>
      <c r="C24" s="2" t="s">
        <v>6</v>
      </c>
      <c r="D24" s="7">
        <f>VLOOKUP(B24,courses_program1!A:E,4,0)</f>
        <v>1.148053055141661</v>
      </c>
      <c r="E24" s="7">
        <f>VLOOKUP(B24,courses_program1!A:E,5,0)</f>
        <v>2.7716374551120313</v>
      </c>
      <c r="F24" s="7">
        <f>VLOOKUP(C24,courses_program1!A:E,4,0)</f>
        <v>2.6535897933550656E-6</v>
      </c>
      <c r="G24" s="7">
        <f>VLOOKUP(C24,courses_program1!A:E,5,0)</f>
        <v>1.9999999999982396</v>
      </c>
      <c r="H24" s="2">
        <v>1</v>
      </c>
      <c r="I24" s="2" t="e">
        <f t="shared" ca="1" si="0"/>
        <v>#NAME?</v>
      </c>
    </row>
    <row r="25" spans="1:9" ht="15.75" customHeight="1" x14ac:dyDescent="0.2">
      <c r="A25" s="2">
        <v>15</v>
      </c>
      <c r="B25" s="2" t="s">
        <v>59</v>
      </c>
      <c r="C25" s="2" t="s">
        <v>20</v>
      </c>
      <c r="D25" s="7">
        <f>VLOOKUP(B25,courses_program1!A:E,4,0)</f>
        <v>1.148053055141661</v>
      </c>
      <c r="E25" s="7">
        <f>VLOOKUP(B25,courses_program1!A:E,5,0)</f>
        <v>2.7716374551120313</v>
      </c>
      <c r="F25" s="7">
        <f>VLOOKUP(C25,courses_program1!A:E,4,0)</f>
        <v>-2.1213161217199321</v>
      </c>
      <c r="G25" s="7">
        <f>VLOOKUP(C25,courses_program1!A:E,5,0)</f>
        <v>2.1213245653909509</v>
      </c>
      <c r="H25" s="2">
        <v>0</v>
      </c>
      <c r="I25" s="2" t="e">
        <f t="shared" ca="1" si="0"/>
        <v>#NAME?</v>
      </c>
    </row>
    <row r="26" spans="1:9" ht="15.75" customHeight="1" x14ac:dyDescent="0.2">
      <c r="A26" s="2">
        <v>16</v>
      </c>
      <c r="B26" s="2" t="s">
        <v>63</v>
      </c>
      <c r="C26" s="2" t="s">
        <v>6</v>
      </c>
      <c r="D26" s="7">
        <f>VLOOKUP(B26,courses_program1!A:E,4,0)</f>
        <v>-0.87789986123576902</v>
      </c>
      <c r="E26" s="7">
        <f>VLOOKUP(B26,courses_program1!A:E,5,0)</f>
        <v>4.4135350722116415</v>
      </c>
      <c r="F26" s="7">
        <f>VLOOKUP(C26,courses_program1!A:E,4,0)</f>
        <v>2.6535897933550656E-6</v>
      </c>
      <c r="G26" s="7">
        <f>VLOOKUP(C26,courses_program1!A:E,5,0)</f>
        <v>1.9999999999982396</v>
      </c>
      <c r="H26" s="2">
        <v>1</v>
      </c>
      <c r="I26" s="2" t="e">
        <f t="shared" ca="1" si="0"/>
        <v>#NAME?</v>
      </c>
    </row>
    <row r="27" spans="1:9" ht="15.75" customHeight="1" x14ac:dyDescent="0.2">
      <c r="A27" s="2">
        <v>16</v>
      </c>
      <c r="B27" s="2" t="s">
        <v>63</v>
      </c>
      <c r="C27" s="2" t="s">
        <v>20</v>
      </c>
      <c r="D27" s="7">
        <f>VLOOKUP(B27,courses_program1!A:E,4,0)</f>
        <v>-0.87789986123576902</v>
      </c>
      <c r="E27" s="7">
        <f>VLOOKUP(B27,courses_program1!A:E,5,0)</f>
        <v>4.4135350722116415</v>
      </c>
      <c r="F27" s="7">
        <f>VLOOKUP(C27,courses_program1!A:E,4,0)</f>
        <v>-2.1213161217199321</v>
      </c>
      <c r="G27" s="7">
        <f>VLOOKUP(C27,courses_program1!A:E,5,0)</f>
        <v>2.1213245653909509</v>
      </c>
      <c r="H27" s="2">
        <v>0</v>
      </c>
      <c r="I27" s="2" t="e">
        <f t="shared" ca="1" si="0"/>
        <v>#NAME?</v>
      </c>
    </row>
    <row r="28" spans="1:9" ht="15.75" customHeight="1" x14ac:dyDescent="0.2">
      <c r="A28" s="2">
        <v>17</v>
      </c>
      <c r="B28" s="2" t="s">
        <v>63</v>
      </c>
      <c r="C28" s="2" t="s">
        <v>31</v>
      </c>
      <c r="D28" s="7">
        <f>VLOOKUP(B28,courses_program1!A:E,4,0)</f>
        <v>-0.87789986123576902</v>
      </c>
      <c r="E28" s="7">
        <f>VLOOKUP(B28,courses_program1!A:E,5,0)</f>
        <v>4.4135350722116415</v>
      </c>
      <c r="F28" s="7">
        <f>VLOOKUP(C28,courses_program1!A:E,4,0)</f>
        <v>0.68282011229000983</v>
      </c>
      <c r="G28" s="7">
        <f>VLOOKUP(C28,courses_program1!A:E,5,0)</f>
        <v>3.4327476886966592</v>
      </c>
      <c r="H28" s="2">
        <v>1</v>
      </c>
      <c r="I28" s="2" t="e">
        <f t="shared" ca="1" si="0"/>
        <v>#NAME?</v>
      </c>
    </row>
    <row r="29" spans="1:9" ht="15.75" customHeight="1" x14ac:dyDescent="0.2">
      <c r="A29" s="2">
        <v>18</v>
      </c>
      <c r="B29" s="2" t="s">
        <v>66</v>
      </c>
      <c r="C29" s="2" t="s">
        <v>36</v>
      </c>
      <c r="D29" s="7">
        <f>VLOOKUP(B29,courses_program1!A:E,4,0)</f>
        <v>9.2875642767427304E-6</v>
      </c>
      <c r="E29" s="7">
        <f>VLOOKUP(B29,courses_program1!A:E,5,0)</f>
        <v>6.9999999999938387</v>
      </c>
      <c r="F29" s="7">
        <f>VLOOKUP(C29,courses_program1!A:E,4,0)</f>
        <v>0.87791157294429845</v>
      </c>
      <c r="G29" s="7">
        <f>VLOOKUP(C29,courses_program1!A:E,5,0)</f>
        <v>4.4135327426099904</v>
      </c>
      <c r="H29" s="2">
        <v>1</v>
      </c>
      <c r="I29" s="2" t="e">
        <f t="shared" ca="1" si="0"/>
        <v>#NAME?</v>
      </c>
    </row>
    <row r="30" spans="1:9" ht="15.75" customHeight="1" x14ac:dyDescent="0.2">
      <c r="A30" s="2">
        <v>19</v>
      </c>
      <c r="B30" s="2" t="s">
        <v>66</v>
      </c>
      <c r="C30" s="2" t="s">
        <v>112</v>
      </c>
      <c r="D30" s="7">
        <f>VLOOKUP(B30,courses_program1!A:E,4,0)</f>
        <v>9.2875642767427304E-6</v>
      </c>
      <c r="E30" s="7">
        <f>VLOOKUP(B30,courses_program1!A:E,5,0)</f>
        <v>6.9999999999938387</v>
      </c>
      <c r="F30" s="7">
        <f>VLOOKUP(C30,courses_program1!A:E,4,0)</f>
        <v>-1.4142107478132879</v>
      </c>
      <c r="G30" s="7">
        <f>VLOOKUP(C30,courses_program1!A:E,5,0)</f>
        <v>1.4142163769273006</v>
      </c>
      <c r="H30" s="2">
        <v>1</v>
      </c>
      <c r="I30" s="2" t="e">
        <f t="shared" ca="1" si="0"/>
        <v>#NAME?</v>
      </c>
    </row>
    <row r="31" spans="1:9" ht="15.75" customHeight="1" x14ac:dyDescent="0.2">
      <c r="A31" s="2">
        <v>20</v>
      </c>
      <c r="B31" s="2" t="s">
        <v>66</v>
      </c>
      <c r="C31" s="2" t="s">
        <v>39</v>
      </c>
      <c r="D31" s="7">
        <f>VLOOKUP(B31,courses_program1!A:E,4,0)</f>
        <v>9.2875642767427304E-6</v>
      </c>
      <c r="E31" s="7">
        <f>VLOOKUP(B31,courses_program1!A:E,5,0)</f>
        <v>6.9999999999938387</v>
      </c>
      <c r="F31" s="7">
        <f>VLOOKUP(C31,courses_program1!A:E,4,0)</f>
        <v>6.6339744833876643E-6</v>
      </c>
      <c r="G31" s="7">
        <f>VLOOKUP(C31,courses_program1!A:E,5,0)</f>
        <v>4.9999999999955991</v>
      </c>
      <c r="H31" s="2">
        <v>1</v>
      </c>
      <c r="I31" s="2" t="e">
        <f t="shared" ca="1" si="0"/>
        <v>#NAME?</v>
      </c>
    </row>
    <row r="32" spans="1:9" ht="15.75" customHeight="1" x14ac:dyDescent="0.2">
      <c r="A32" s="2">
        <v>21</v>
      </c>
      <c r="B32" s="2" t="s">
        <v>70</v>
      </c>
      <c r="C32" s="2" t="s">
        <v>31</v>
      </c>
      <c r="D32" s="7">
        <f>VLOOKUP(B32,courses_program1!A:E,4,0)</f>
        <v>2.6787904619972092</v>
      </c>
      <c r="E32" s="7">
        <f>VLOOKUP(B32,courses_program1!A:E,5,0)</f>
        <v>6.4671540619280732</v>
      </c>
      <c r="F32" s="7">
        <f>VLOOKUP(C32,courses_program1!A:E,4,0)</f>
        <v>0.68282011229000983</v>
      </c>
      <c r="G32" s="7">
        <f>VLOOKUP(C32,courses_program1!A:E,5,0)</f>
        <v>3.4327476886966592</v>
      </c>
      <c r="H32" s="2">
        <v>1</v>
      </c>
      <c r="I32" s="2" t="e">
        <f t="shared" ca="1" si="0"/>
        <v>#NAME?</v>
      </c>
    </row>
    <row r="33" spans="1:9" ht="15.75" customHeight="1" x14ac:dyDescent="0.2">
      <c r="A33" s="2">
        <v>22</v>
      </c>
      <c r="B33" s="2" t="s">
        <v>70</v>
      </c>
      <c r="C33" s="2" t="s">
        <v>36</v>
      </c>
      <c r="D33" s="7">
        <f>VLOOKUP(B33,courses_program1!A:E,4,0)</f>
        <v>2.6787904619972092</v>
      </c>
      <c r="E33" s="7">
        <f>VLOOKUP(B33,courses_program1!A:E,5,0)</f>
        <v>6.4671540619280732</v>
      </c>
      <c r="F33" s="7">
        <f>VLOOKUP(C33,courses_program1!A:E,4,0)</f>
        <v>0.87791157294429845</v>
      </c>
      <c r="G33" s="7">
        <f>VLOOKUP(C33,courses_program1!A:E,5,0)</f>
        <v>4.4135327426099904</v>
      </c>
      <c r="H33" s="2">
        <v>1</v>
      </c>
      <c r="I33" s="2" t="e">
        <f t="shared" ca="1" si="0"/>
        <v>#NAME?</v>
      </c>
    </row>
    <row r="34" spans="1:9" ht="15.75" customHeight="1" x14ac:dyDescent="0.2">
      <c r="A34" s="2">
        <v>22</v>
      </c>
      <c r="B34" s="2" t="s">
        <v>70</v>
      </c>
      <c r="C34" s="2" t="s">
        <v>93</v>
      </c>
      <c r="D34" s="7">
        <f>VLOOKUP(B34,courses_program1!A:E,4,0)</f>
        <v>2.6787904619972092</v>
      </c>
      <c r="E34" s="7">
        <f>VLOOKUP(B34,courses_program1!A:E,5,0)</f>
        <v>6.4671540619280732</v>
      </c>
      <c r="F34" s="7">
        <f>VLOOKUP(C34,courses_program1!A:E,4,0)</f>
        <v>-0.78412589918456477</v>
      </c>
      <c r="G34" s="7">
        <f>VLOOKUP(C34,courses_program1!A:E,5,0)</f>
        <v>7.9614789187831176</v>
      </c>
      <c r="H34" s="2">
        <v>0</v>
      </c>
      <c r="I34" s="2" t="e">
        <f t="shared" ca="1" si="0"/>
        <v>#NAME?</v>
      </c>
    </row>
    <row r="35" spans="1:9" ht="15.75" customHeight="1" x14ac:dyDescent="0.2">
      <c r="A35" s="2">
        <v>23</v>
      </c>
      <c r="B35" s="2" t="s">
        <v>73</v>
      </c>
      <c r="C35" s="2" t="s">
        <v>39</v>
      </c>
      <c r="D35" s="7">
        <f>VLOOKUP(B35,courses_program1!A:E,4,0)</f>
        <v>-2.6787733008137673</v>
      </c>
      <c r="E35" s="7">
        <f>VLOOKUP(B35,courses_program1!A:E,5,0)</f>
        <v>6.4671611703163325</v>
      </c>
      <c r="F35" s="7">
        <f>VLOOKUP(C35,courses_program1!A:E,4,0)</f>
        <v>6.6339744833876643E-6</v>
      </c>
      <c r="G35" s="7">
        <f>VLOOKUP(C35,courses_program1!A:E,5,0)</f>
        <v>4.9999999999955991</v>
      </c>
      <c r="H35" s="2">
        <v>1</v>
      </c>
      <c r="I35" s="2" t="e">
        <f t="shared" ca="1" si="0"/>
        <v>#NAME?</v>
      </c>
    </row>
    <row r="36" spans="1:9" ht="15.75" customHeight="1" x14ac:dyDescent="0.2">
      <c r="A36" s="2">
        <v>23</v>
      </c>
      <c r="B36" s="2" t="s">
        <v>73</v>
      </c>
      <c r="C36" s="2" t="s">
        <v>28</v>
      </c>
      <c r="D36" s="7">
        <f>VLOOKUP(B36,courses_program1!A:E,4,0)</f>
        <v>-2.6787733008137673</v>
      </c>
      <c r="E36" s="7">
        <f>VLOOKUP(B36,courses_program1!A:E,5,0)</f>
        <v>6.4671611703163325</v>
      </c>
      <c r="F36" s="7">
        <f>VLOOKUP(C36,courses_program1!A:E,4,0)</f>
        <v>2.1213217508376787</v>
      </c>
      <c r="G36" s="7">
        <f>VLOOKUP(C36,courses_program1!A:E,5,0)</f>
        <v>2.1213189362806726</v>
      </c>
      <c r="H36" s="2">
        <v>0</v>
      </c>
      <c r="I36" s="2" t="e">
        <f t="shared" ca="1" si="0"/>
        <v>#NAME?</v>
      </c>
    </row>
    <row r="37" spans="1:9" ht="15.75" customHeight="1" x14ac:dyDescent="0.2">
      <c r="A37" s="2">
        <v>23</v>
      </c>
      <c r="B37" s="2" t="s">
        <v>73</v>
      </c>
      <c r="C37" s="2" t="s">
        <v>112</v>
      </c>
      <c r="D37" s="7">
        <f>VLOOKUP(B37,courses_program1!A:E,4,0)</f>
        <v>-2.6787733008137673</v>
      </c>
      <c r="E37" s="7">
        <f>VLOOKUP(B37,courses_program1!A:E,5,0)</f>
        <v>6.4671611703163325</v>
      </c>
      <c r="F37" s="7">
        <f>VLOOKUP(C37,courses_program1!A:E,4,0)</f>
        <v>-1.4142107478132879</v>
      </c>
      <c r="G37" s="7">
        <f>VLOOKUP(C37,courses_program1!A:E,5,0)</f>
        <v>1.4142163769273006</v>
      </c>
      <c r="H37" s="2">
        <v>1</v>
      </c>
      <c r="I37" s="2" t="e">
        <f t="shared" ca="1" si="0"/>
        <v>#NAME?</v>
      </c>
    </row>
    <row r="38" spans="1:9" ht="15.75" customHeight="1" x14ac:dyDescent="0.2">
      <c r="A38" s="2">
        <v>23</v>
      </c>
      <c r="B38" s="2" t="s">
        <v>73</v>
      </c>
      <c r="C38" s="2" t="s">
        <v>31</v>
      </c>
      <c r="D38" s="7">
        <f>VLOOKUP(B38,courses_program1!A:E,4,0)</f>
        <v>-2.6787733008137673</v>
      </c>
      <c r="E38" s="7">
        <f>VLOOKUP(B38,courses_program1!A:E,5,0)</f>
        <v>6.4671611703163325</v>
      </c>
      <c r="F38" s="7">
        <f>VLOOKUP(C38,courses_program1!A:E,4,0)</f>
        <v>0.68282011229000983</v>
      </c>
      <c r="G38" s="7">
        <f>VLOOKUP(C38,courses_program1!A:E,5,0)</f>
        <v>3.4327476886966592</v>
      </c>
      <c r="H38" s="2">
        <v>1</v>
      </c>
      <c r="I38" s="2" t="e">
        <f t="shared" ca="1" si="0"/>
        <v>#NAME?</v>
      </c>
    </row>
    <row r="39" spans="1:9" ht="15.75" customHeight="1" x14ac:dyDescent="0.2">
      <c r="A39" s="2">
        <v>24</v>
      </c>
      <c r="B39" s="2" t="s">
        <v>76</v>
      </c>
      <c r="C39" s="2" t="s">
        <v>31</v>
      </c>
      <c r="D39" s="7">
        <f>VLOOKUP(B39,courses_program1!A:E,4,0)</f>
        <v>0.75474151221796537</v>
      </c>
      <c r="E39" s="7">
        <f>VLOOKUP(B39,courses_program1!A:E,5,0)</f>
        <v>7.6629214565813566</v>
      </c>
      <c r="F39" s="7">
        <f>VLOOKUP(C39,courses_program1!A:E,4,0)</f>
        <v>0.68282011229000983</v>
      </c>
      <c r="G39" s="7">
        <f>VLOOKUP(C39,courses_program1!A:E,5,0)</f>
        <v>3.4327476886966592</v>
      </c>
      <c r="H39" s="2">
        <v>1</v>
      </c>
      <c r="I39" s="2" t="e">
        <f t="shared" ca="1" si="0"/>
        <v>#NAME?</v>
      </c>
    </row>
    <row r="40" spans="1:9" ht="15.75" customHeight="1" x14ac:dyDescent="0.2">
      <c r="A40" s="2">
        <v>25</v>
      </c>
      <c r="B40" s="2" t="s">
        <v>76</v>
      </c>
      <c r="C40" s="2" t="s">
        <v>6</v>
      </c>
      <c r="D40" s="7">
        <f>VLOOKUP(B40,courses_program1!A:E,4,0)</f>
        <v>0.75474151221796537</v>
      </c>
      <c r="E40" s="7">
        <f>VLOOKUP(B40,courses_program1!A:E,5,0)</f>
        <v>7.6629214565813566</v>
      </c>
      <c r="F40" s="7">
        <f>VLOOKUP(C40,courses_program1!A:E,4,0)</f>
        <v>2.6535897933550656E-6</v>
      </c>
      <c r="G40" s="7">
        <f>VLOOKUP(C40,courses_program1!A:E,5,0)</f>
        <v>1.9999999999982396</v>
      </c>
      <c r="H40" s="2">
        <v>1</v>
      </c>
      <c r="I40" s="2" t="e">
        <f t="shared" ca="1" si="0"/>
        <v>#NAME?</v>
      </c>
    </row>
    <row r="41" spans="1:9" ht="15.75" customHeight="1" x14ac:dyDescent="0.2">
      <c r="A41" s="2">
        <v>25</v>
      </c>
      <c r="B41" s="2" t="s">
        <v>76</v>
      </c>
      <c r="C41" s="2" t="s">
        <v>20</v>
      </c>
      <c r="D41" s="7">
        <f>VLOOKUP(B41,courses_program1!A:E,4,0)</f>
        <v>0.75474151221796537</v>
      </c>
      <c r="E41" s="7">
        <f>VLOOKUP(B41,courses_program1!A:E,5,0)</f>
        <v>7.6629214565813566</v>
      </c>
      <c r="F41" s="7">
        <f>VLOOKUP(C41,courses_program1!A:E,4,0)</f>
        <v>-2.1213161217199321</v>
      </c>
      <c r="G41" s="7">
        <f>VLOOKUP(C41,courses_program1!A:E,5,0)</f>
        <v>2.1213245653909509</v>
      </c>
      <c r="H41" s="2">
        <v>0</v>
      </c>
      <c r="I41" s="2" t="e">
        <f t="shared" ca="1" si="0"/>
        <v>#NAME?</v>
      </c>
    </row>
    <row r="42" spans="1:9" ht="15.75" customHeight="1" x14ac:dyDescent="0.2">
      <c r="A42" s="2">
        <v>25</v>
      </c>
      <c r="B42" s="2" t="s">
        <v>76</v>
      </c>
      <c r="C42" s="2" t="s">
        <v>24</v>
      </c>
      <c r="D42" s="7">
        <f>VLOOKUP(B42,courses_program1!A:E,4,0)</f>
        <v>0.75474151221796537</v>
      </c>
      <c r="E42" s="7">
        <f>VLOOKUP(B42,courses_program1!A:E,5,0)</f>
        <v>7.6629214565813566</v>
      </c>
      <c r="F42" s="7">
        <f>VLOOKUP(C42,courses_program1!A:E,4,0)</f>
        <v>3.9803846900325983E-6</v>
      </c>
      <c r="G42" s="7">
        <f>VLOOKUP(C42,courses_program1!A:E,5,0)</f>
        <v>2.9999999999973594</v>
      </c>
      <c r="H42" s="2">
        <v>0</v>
      </c>
      <c r="I42" s="2" t="e">
        <f t="shared" ca="1" si="0"/>
        <v>#NAME?</v>
      </c>
    </row>
    <row r="43" spans="1:9" ht="15.75" customHeight="1" x14ac:dyDescent="0.2">
      <c r="A43" s="2">
        <v>26</v>
      </c>
      <c r="B43" s="2" t="s">
        <v>76</v>
      </c>
      <c r="C43" s="2" t="s">
        <v>36</v>
      </c>
      <c r="D43" s="7">
        <f>VLOOKUP(B43,courses_program1!A:E,4,0)</f>
        <v>0.75474151221796537</v>
      </c>
      <c r="E43" s="7">
        <f>VLOOKUP(B43,courses_program1!A:E,5,0)</f>
        <v>7.6629214565813566</v>
      </c>
      <c r="F43" s="7">
        <f>VLOOKUP(C43,courses_program1!A:E,4,0)</f>
        <v>0.87791157294429845</v>
      </c>
      <c r="G43" s="7">
        <f>VLOOKUP(C43,courses_program1!A:E,5,0)</f>
        <v>4.4135327426099904</v>
      </c>
      <c r="H43" s="2">
        <v>1</v>
      </c>
      <c r="I43" s="2" t="e">
        <f t="shared" ca="1" si="0"/>
        <v>#NAME?</v>
      </c>
    </row>
    <row r="44" spans="1:9" ht="15.75" customHeight="1" x14ac:dyDescent="0.2">
      <c r="A44" s="2">
        <v>27</v>
      </c>
      <c r="B44" s="2" t="s">
        <v>79</v>
      </c>
      <c r="C44" s="2" t="s">
        <v>39</v>
      </c>
      <c r="D44" s="7">
        <f>VLOOKUP(B44,courses_program1!A:E,4,0)</f>
        <v>2.235199958190671</v>
      </c>
      <c r="E44" s="7">
        <f>VLOOKUP(B44,courses_program1!A:E,5,0)</f>
        <v>7.3684381755501231</v>
      </c>
      <c r="F44" s="7">
        <f>VLOOKUP(C44,courses_program1!A:E,4,0)</f>
        <v>6.6339744833876643E-6</v>
      </c>
      <c r="G44" s="7">
        <f>VLOOKUP(C44,courses_program1!A:E,5,0)</f>
        <v>4.9999999999955991</v>
      </c>
      <c r="H44" s="2">
        <v>1</v>
      </c>
      <c r="I44" s="2" t="e">
        <f t="shared" ca="1" si="0"/>
        <v>#NAME?</v>
      </c>
    </row>
    <row r="45" spans="1:9" ht="15.75" customHeight="1" x14ac:dyDescent="0.2">
      <c r="A45" s="2">
        <v>28</v>
      </c>
      <c r="B45" s="2" t="s">
        <v>82</v>
      </c>
      <c r="C45" s="2" t="s">
        <v>36</v>
      </c>
      <c r="D45" s="7">
        <f>VLOOKUP(B45,courses_program1!A:E,4,0)</f>
        <v>1.3656402245800197</v>
      </c>
      <c r="E45" s="7">
        <f>VLOOKUP(B45,courses_program1!A:E,5,0)</f>
        <v>6.8654953773933185</v>
      </c>
      <c r="F45" s="7">
        <f>VLOOKUP(C45,courses_program1!A:E,4,0)</f>
        <v>0.87791157294429845</v>
      </c>
      <c r="G45" s="7">
        <f>VLOOKUP(C45,courses_program1!A:E,5,0)</f>
        <v>4.4135327426099904</v>
      </c>
      <c r="H45" s="2">
        <v>1</v>
      </c>
      <c r="I45" s="2" t="e">
        <f t="shared" ca="1" si="0"/>
        <v>#NAME?</v>
      </c>
    </row>
    <row r="46" spans="1:9" ht="15.75" customHeight="1" x14ac:dyDescent="0.2">
      <c r="A46" s="2">
        <v>30</v>
      </c>
      <c r="B46" s="2" t="s">
        <v>90</v>
      </c>
      <c r="C46" s="2" t="s">
        <v>39</v>
      </c>
      <c r="D46" s="7">
        <f>VLOOKUP(B46,courses_program1!A:E,4,0)</f>
        <v>-2.2351804053704658</v>
      </c>
      <c r="E46" s="7">
        <f>VLOOKUP(B46,courses_program1!A:E,5,0)</f>
        <v>7.368444106827976</v>
      </c>
      <c r="F46" s="7">
        <f>VLOOKUP(C46,courses_program1!A:E,4,0)</f>
        <v>6.6339744833876643E-6</v>
      </c>
      <c r="G46" s="7">
        <f>VLOOKUP(C46,courses_program1!A:E,5,0)</f>
        <v>4.9999999999955991</v>
      </c>
      <c r="H46" s="2">
        <v>1</v>
      </c>
      <c r="I46" s="2" t="e">
        <f t="shared" ca="1" si="0"/>
        <v>#NAME?</v>
      </c>
    </row>
    <row r="47" spans="1:9" ht="15.75" customHeight="1" x14ac:dyDescent="0.2">
      <c r="A47" s="2">
        <v>31</v>
      </c>
      <c r="B47" s="2" t="s">
        <v>93</v>
      </c>
      <c r="C47" s="2" t="s">
        <v>116</v>
      </c>
      <c r="D47" s="7">
        <f>VLOOKUP(B47,courses_program1!A:E,4,0)</f>
        <v>-0.78412589918456477</v>
      </c>
      <c r="E47" s="7">
        <f>VLOOKUP(B47,courses_program1!A:E,5,0)</f>
        <v>7.9614789187831176</v>
      </c>
      <c r="F47" s="7">
        <f>VLOOKUP(C47,courses_program1!A:E,4,0)</f>
        <v>-0.68281100318337595</v>
      </c>
      <c r="G47" s="7">
        <f>VLOOKUP(C47,courses_program1!A:E,5,0)</f>
        <v>3.4327495006090545</v>
      </c>
      <c r="H47" s="2">
        <v>1</v>
      </c>
      <c r="I47" s="2" t="e">
        <f t="shared" ca="1" si="0"/>
        <v>#NAME?</v>
      </c>
    </row>
    <row r="48" spans="1:9" ht="15.75" customHeight="1" x14ac:dyDescent="0.2">
      <c r="A48" s="2">
        <v>32</v>
      </c>
      <c r="B48" s="2" t="s">
        <v>93</v>
      </c>
      <c r="C48" s="2" t="s">
        <v>36</v>
      </c>
      <c r="D48" s="7">
        <f>VLOOKUP(B48,courses_program1!A:E,4,0)</f>
        <v>-0.78412589918456477</v>
      </c>
      <c r="E48" s="7">
        <f>VLOOKUP(B48,courses_program1!A:E,5,0)</f>
        <v>7.9614789187831176</v>
      </c>
      <c r="F48" s="7">
        <f>VLOOKUP(C48,courses_program1!A:E,4,0)</f>
        <v>0.87791157294429845</v>
      </c>
      <c r="G48" s="7">
        <f>VLOOKUP(C48,courses_program1!A:E,5,0)</f>
        <v>4.4135327426099904</v>
      </c>
      <c r="H48" s="2">
        <v>1</v>
      </c>
      <c r="I48" s="2" t="e">
        <f t="shared" ca="1" si="0"/>
        <v>#NAME?</v>
      </c>
    </row>
    <row r="49" spans="1:9" ht="15.75" customHeight="1" x14ac:dyDescent="0.2">
      <c r="A49" s="2">
        <v>33</v>
      </c>
      <c r="B49" s="2" t="s">
        <v>93</v>
      </c>
      <c r="C49" s="2" t="s">
        <v>112</v>
      </c>
      <c r="D49" s="7">
        <f>VLOOKUP(B49,courses_program1!A:E,4,0)</f>
        <v>-0.78412589918456477</v>
      </c>
      <c r="E49" s="7">
        <f>VLOOKUP(B49,courses_program1!A:E,5,0)</f>
        <v>7.9614789187831176</v>
      </c>
      <c r="F49" s="7">
        <f>VLOOKUP(C49,courses_program1!A:E,4,0)</f>
        <v>-1.4142107478132879</v>
      </c>
      <c r="G49" s="7">
        <f>VLOOKUP(C49,courses_program1!A:E,5,0)</f>
        <v>1.4142163769273006</v>
      </c>
      <c r="H49" s="2">
        <v>1</v>
      </c>
      <c r="I49" s="2" t="e">
        <f t="shared" ca="1" si="0"/>
        <v>#NAME?</v>
      </c>
    </row>
    <row r="50" spans="1:9" ht="15.75" customHeight="1" x14ac:dyDescent="0.2">
      <c r="A50" s="2">
        <v>34</v>
      </c>
      <c r="B50" s="2" t="s">
        <v>97</v>
      </c>
      <c r="C50" s="2" t="s">
        <v>93</v>
      </c>
      <c r="D50" s="7">
        <f>VLOOKUP(B50,courses_program1!A:E,4,0)</f>
        <v>1.1941154070097795E-5</v>
      </c>
      <c r="E50" s="7">
        <f>VLOOKUP(B50,courses_program1!A:E,5,0)</f>
        <v>8.9999999999920774</v>
      </c>
      <c r="F50" s="7">
        <f>VLOOKUP(C50,courses_program1!A:E,4,0)</f>
        <v>-0.78412589918456477</v>
      </c>
      <c r="G50" s="7">
        <f>VLOOKUP(C50,courses_program1!A:E,5,0)</f>
        <v>7.9614789187831176</v>
      </c>
      <c r="H50" s="2">
        <v>1</v>
      </c>
      <c r="I50" s="2" t="e">
        <f t="shared" ca="1" si="0"/>
        <v>#NAME?</v>
      </c>
    </row>
    <row r="51" spans="1:9" ht="15.75" customHeight="1" x14ac:dyDescent="0.2">
      <c r="A51" s="2">
        <v>36</v>
      </c>
      <c r="B51" s="2" t="s">
        <v>104</v>
      </c>
      <c r="C51" s="2" t="s">
        <v>100</v>
      </c>
      <c r="D51" s="7">
        <f>VLOOKUP(B51,courses_program1!A:E,4,0)</f>
        <v>-0.76536380023250494</v>
      </c>
      <c r="E51" s="7">
        <f>VLOOKUP(B51,courses_program1!A:E,5,0)</f>
        <v>1.8477603343760949</v>
      </c>
      <c r="F51" s="7">
        <f>VLOOKUP(C51,courses_program1!A:E,4,0)</f>
        <v>1.3267948966775328E-6</v>
      </c>
      <c r="G51" s="7">
        <f>VLOOKUP(C51,courses_program1!A:E,5,0)</f>
        <v>0.99999999999911982</v>
      </c>
      <c r="H51" s="2">
        <v>1</v>
      </c>
      <c r="I51" s="2" t="e">
        <f t="shared" ca="1" si="0"/>
        <v>#NAME?</v>
      </c>
    </row>
    <row r="52" spans="1:9" ht="15.75" customHeight="1" x14ac:dyDescent="0.2">
      <c r="A52" s="2">
        <v>37</v>
      </c>
      <c r="B52" s="2" t="s">
        <v>108</v>
      </c>
      <c r="C52" s="2" t="s">
        <v>104</v>
      </c>
      <c r="D52" s="7">
        <f>VLOOKUP(B52,courses_program1!A:E,4,0)</f>
        <v>-1.1480457003487574</v>
      </c>
      <c r="E52" s="7">
        <f>VLOOKUP(B52,courses_program1!A:E,5,0)</f>
        <v>2.7716405015641423</v>
      </c>
      <c r="F52" s="7">
        <f>VLOOKUP(C52,courses_program1!A:E,4,0)</f>
        <v>-0.76536380023250494</v>
      </c>
      <c r="G52" s="7">
        <f>VLOOKUP(C52,courses_program1!A:E,5,0)</f>
        <v>1.8477603343760949</v>
      </c>
      <c r="H52" s="2">
        <v>1</v>
      </c>
      <c r="I52" s="2" t="e">
        <f t="shared" ca="1" si="0"/>
        <v>#NAME?</v>
      </c>
    </row>
    <row r="53" spans="1:9" ht="15.75" customHeight="1" x14ac:dyDescent="0.2">
      <c r="A53" s="2">
        <v>38</v>
      </c>
      <c r="B53" s="2" t="s">
        <v>112</v>
      </c>
      <c r="C53" s="2" t="s">
        <v>100</v>
      </c>
      <c r="D53" s="7">
        <f>VLOOKUP(B53,courses_program1!A:E,4,0)</f>
        <v>-1.4142107478132879</v>
      </c>
      <c r="E53" s="7">
        <f>VLOOKUP(B53,courses_program1!A:E,5,0)</f>
        <v>1.4142163769273006</v>
      </c>
      <c r="F53" s="7">
        <f>VLOOKUP(C53,courses_program1!A:E,4,0)</f>
        <v>1.3267948966775328E-6</v>
      </c>
      <c r="G53" s="7">
        <f>VLOOKUP(C53,courses_program1!A:E,5,0)</f>
        <v>0.99999999999911982</v>
      </c>
      <c r="H53" s="2">
        <v>1</v>
      </c>
      <c r="I53" s="2" t="e">
        <f t="shared" ca="1" si="0"/>
        <v>#NAME?</v>
      </c>
    </row>
    <row r="54" spans="1:9" ht="15.75" customHeight="1" x14ac:dyDescent="0.2">
      <c r="A54" s="2">
        <v>39</v>
      </c>
      <c r="B54" s="2" t="s">
        <v>116</v>
      </c>
      <c r="C54" s="2" t="s">
        <v>108</v>
      </c>
      <c r="D54" s="7">
        <f>VLOOKUP(B54,courses_program1!A:E,4,0)</f>
        <v>-0.68281100318337595</v>
      </c>
      <c r="E54" s="7">
        <f>VLOOKUP(B54,courses_program1!A:E,5,0)</f>
        <v>3.4327495006090545</v>
      </c>
      <c r="F54" s="7">
        <f>VLOOKUP(C54,courses_program1!A:E,4,0)</f>
        <v>-1.1480457003487574</v>
      </c>
      <c r="G54" s="7">
        <f>VLOOKUP(C54,courses_program1!A:E,5,0)</f>
        <v>2.7716405015641423</v>
      </c>
      <c r="H54" s="2">
        <v>1</v>
      </c>
      <c r="I54" s="2" t="e">
        <f t="shared" ca="1" si="0"/>
        <v>#NAME?</v>
      </c>
    </row>
    <row r="55" spans="1:9" ht="15.75" customHeight="1" x14ac:dyDescent="0.2">
      <c r="A55" s="2">
        <v>41</v>
      </c>
      <c r="B55" s="2" t="s">
        <v>122</v>
      </c>
      <c r="C55" s="2" t="s">
        <v>119</v>
      </c>
      <c r="D55" s="7">
        <f>VLOOKUP(B55,courses_program1!A:E,4,0)</f>
        <v>1.4142145005584525</v>
      </c>
      <c r="E55" s="7">
        <f>VLOOKUP(B55,courses_program1!A:E,5,0)</f>
        <v>1.4142126241871151</v>
      </c>
      <c r="F55" s="7">
        <f>VLOOKUP(C55,courses_program1!A:E,4,0)</f>
        <v>0.70710725027922627</v>
      </c>
      <c r="G55" s="7">
        <f>VLOOKUP(C55,courses_program1!A:E,5,0)</f>
        <v>0.70710631209355757</v>
      </c>
      <c r="H55" s="2">
        <v>1</v>
      </c>
      <c r="I55" s="2" t="e">
        <f t="shared" ca="1" si="0"/>
        <v>#NAME?</v>
      </c>
    </row>
    <row r="56" spans="1:9" ht="15.75" customHeight="1" x14ac:dyDescent="0.2">
      <c r="D56" s="7"/>
      <c r="E56" s="7"/>
      <c r="F56" s="7"/>
      <c r="G56" s="7"/>
    </row>
    <row r="57" spans="1:9" ht="15.75" customHeight="1" x14ac:dyDescent="0.2">
      <c r="D57" s="7"/>
      <c r="E57" s="7"/>
      <c r="F57" s="7"/>
      <c r="G57" s="7"/>
    </row>
    <row r="58" spans="1:9" ht="15.75" customHeight="1" x14ac:dyDescent="0.2">
      <c r="D58" s="7"/>
      <c r="E58" s="7"/>
      <c r="F58" s="7"/>
      <c r="G58" s="7"/>
    </row>
    <row r="59" spans="1:9" ht="15.75" customHeight="1" x14ac:dyDescent="0.2">
      <c r="D59" s="7"/>
      <c r="E59" s="7"/>
      <c r="F59" s="7"/>
      <c r="G59" s="7"/>
    </row>
    <row r="60" spans="1:9" ht="15.75" customHeight="1" x14ac:dyDescent="0.2">
      <c r="D60" s="7"/>
      <c r="E60" s="7"/>
      <c r="F60" s="7"/>
      <c r="G60" s="7"/>
    </row>
    <row r="61" spans="1:9" ht="15.75" customHeight="1" x14ac:dyDescent="0.2">
      <c r="D61" s="7"/>
      <c r="E61" s="7"/>
      <c r="F61" s="7"/>
      <c r="G61" s="7"/>
    </row>
    <row r="62" spans="1:9" ht="15.75" customHeight="1" x14ac:dyDescent="0.2">
      <c r="D62" s="7"/>
      <c r="E62" s="7"/>
      <c r="F62" s="7"/>
      <c r="G62" s="7"/>
    </row>
    <row r="63" spans="1:9" ht="15.75" customHeight="1" x14ac:dyDescent="0.2">
      <c r="D63" s="7"/>
      <c r="E63" s="7"/>
      <c r="F63" s="7"/>
      <c r="G63" s="7"/>
    </row>
    <row r="64" spans="1:9" ht="15.75" customHeight="1" x14ac:dyDescent="0.2">
      <c r="D64" s="7"/>
      <c r="E64" s="7"/>
      <c r="F64" s="7"/>
      <c r="G64" s="7"/>
    </row>
    <row r="65" spans="4:8" ht="15.75" customHeight="1" x14ac:dyDescent="0.2">
      <c r="D65" s="7"/>
      <c r="E65" s="7"/>
      <c r="F65" s="7"/>
      <c r="G65" s="7"/>
    </row>
    <row r="66" spans="4:8" ht="15.75" customHeight="1" x14ac:dyDescent="0.2">
      <c r="D66" s="7"/>
      <c r="E66" s="7"/>
      <c r="F66" s="7"/>
      <c r="G66" s="7"/>
    </row>
    <row r="67" spans="4:8" ht="15.75" customHeight="1" x14ac:dyDescent="0.2">
      <c r="D67" s="7"/>
      <c r="E67" s="7"/>
      <c r="F67" s="7"/>
      <c r="G67" s="7"/>
    </row>
    <row r="68" spans="4:8" ht="15.75" customHeight="1" x14ac:dyDescent="0.2">
      <c r="D68" s="7"/>
      <c r="E68" s="7"/>
      <c r="F68" s="7"/>
      <c r="G68" s="7"/>
    </row>
    <row r="69" spans="4:8" ht="15.75" customHeight="1" x14ac:dyDescent="0.2">
      <c r="D69" s="7"/>
      <c r="E69" s="7"/>
      <c r="F69" s="7"/>
      <c r="G69" s="7"/>
    </row>
    <row r="70" spans="4:8" ht="15.75" customHeight="1" x14ac:dyDescent="0.2">
      <c r="D70" s="7"/>
      <c r="E70" s="7"/>
      <c r="F70" s="7"/>
      <c r="G70" s="7"/>
    </row>
    <row r="71" spans="4:8" ht="15.75" customHeight="1" x14ac:dyDescent="0.2">
      <c r="D71" s="7"/>
      <c r="E71" s="7"/>
      <c r="F71" s="7"/>
      <c r="G71" s="7"/>
    </row>
    <row r="72" spans="4:8" ht="15.75" customHeight="1" x14ac:dyDescent="0.2">
      <c r="D72" s="7"/>
      <c r="E72" s="7"/>
      <c r="F72" s="7"/>
      <c r="G72" s="7"/>
    </row>
    <row r="73" spans="4:8" ht="15.75" customHeight="1" x14ac:dyDescent="0.2">
      <c r="D73" s="7"/>
      <c r="E73" s="7"/>
      <c r="F73" s="7"/>
      <c r="G73" s="7"/>
    </row>
    <row r="74" spans="4:8" ht="15.75" customHeight="1" x14ac:dyDescent="0.2">
      <c r="D74" s="7"/>
      <c r="E74" s="7"/>
      <c r="F74" s="7"/>
      <c r="G74" s="7"/>
      <c r="H74" s="8"/>
    </row>
    <row r="75" spans="4:8" ht="15.75" customHeight="1" x14ac:dyDescent="0.2"/>
    <row r="76" spans="4:8" ht="15.75" customHeight="1" x14ac:dyDescent="0.2"/>
    <row r="77" spans="4:8" ht="15.75" customHeight="1" x14ac:dyDescent="0.2"/>
    <row r="78" spans="4:8" ht="15.75" customHeight="1" x14ac:dyDescent="0.2"/>
    <row r="79" spans="4:8" ht="15.75" customHeight="1" x14ac:dyDescent="0.2"/>
    <row r="80" spans="4:8"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00"/>
  <sheetViews>
    <sheetView workbookViewId="0"/>
  </sheetViews>
  <sheetFormatPr baseColWidth="10" defaultColWidth="14.5" defaultRowHeight="15" customHeight="1" x14ac:dyDescent="0.2"/>
  <cols>
    <col min="1" max="2" width="14" customWidth="1"/>
    <col min="3" max="3" width="17.33203125" customWidth="1"/>
    <col min="4" max="26" width="10.6640625" customWidth="1"/>
  </cols>
  <sheetData>
    <row r="1" spans="1:3" x14ac:dyDescent="0.2">
      <c r="A1" s="5" t="s">
        <v>195</v>
      </c>
      <c r="B1" s="5" t="s">
        <v>0</v>
      </c>
      <c r="C1" s="5" t="s">
        <v>196</v>
      </c>
    </row>
    <row r="2" spans="1:3" x14ac:dyDescent="0.2">
      <c r="A2" s="2">
        <v>1</v>
      </c>
      <c r="B2" s="5" t="s">
        <v>100</v>
      </c>
      <c r="C2" s="5" t="s">
        <v>197</v>
      </c>
    </row>
    <row r="3" spans="1:3" x14ac:dyDescent="0.2">
      <c r="A3" s="2">
        <v>2</v>
      </c>
      <c r="B3" s="5" t="s">
        <v>100</v>
      </c>
      <c r="C3" s="5" t="s">
        <v>198</v>
      </c>
    </row>
    <row r="4" spans="1:3" x14ac:dyDescent="0.2">
      <c r="A4" s="2">
        <v>3</v>
      </c>
      <c r="B4" s="5" t="s">
        <v>100</v>
      </c>
      <c r="C4" s="5" t="s">
        <v>199</v>
      </c>
    </row>
    <row r="5" spans="1:3" x14ac:dyDescent="0.2">
      <c r="A5" s="2">
        <v>4</v>
      </c>
      <c r="B5" s="5" t="s">
        <v>100</v>
      </c>
      <c r="C5" s="5" t="s">
        <v>200</v>
      </c>
    </row>
    <row r="6" spans="1:3" x14ac:dyDescent="0.2">
      <c r="A6" s="2">
        <v>5</v>
      </c>
      <c r="B6" s="5" t="s">
        <v>100</v>
      </c>
      <c r="C6" s="5" t="s">
        <v>201</v>
      </c>
    </row>
    <row r="7" spans="1:3" x14ac:dyDescent="0.2">
      <c r="A7" s="2">
        <v>6</v>
      </c>
      <c r="B7" s="5" t="s">
        <v>100</v>
      </c>
      <c r="C7" s="5" t="s">
        <v>202</v>
      </c>
    </row>
    <row r="8" spans="1:3" x14ac:dyDescent="0.2">
      <c r="A8" s="2">
        <v>7</v>
      </c>
      <c r="B8" s="5" t="s">
        <v>104</v>
      </c>
      <c r="C8" s="5" t="s">
        <v>203</v>
      </c>
    </row>
    <row r="9" spans="1:3" x14ac:dyDescent="0.2">
      <c r="A9" s="2">
        <v>8</v>
      </c>
      <c r="B9" s="5" t="s">
        <v>104</v>
      </c>
      <c r="C9" s="5" t="s">
        <v>204</v>
      </c>
    </row>
    <row r="10" spans="1:3" x14ac:dyDescent="0.2">
      <c r="A10" s="2">
        <v>9</v>
      </c>
      <c r="B10" s="5" t="s">
        <v>104</v>
      </c>
      <c r="C10" s="5" t="s">
        <v>205</v>
      </c>
    </row>
    <row r="11" spans="1:3" x14ac:dyDescent="0.2">
      <c r="A11" s="2">
        <v>10</v>
      </c>
      <c r="B11" s="5" t="s">
        <v>112</v>
      </c>
      <c r="C11" s="5" t="s">
        <v>206</v>
      </c>
    </row>
    <row r="12" spans="1:3" x14ac:dyDescent="0.2">
      <c r="A12" s="2">
        <v>11</v>
      </c>
      <c r="B12" s="5" t="s">
        <v>112</v>
      </c>
      <c r="C12" s="5" t="s">
        <v>207</v>
      </c>
    </row>
    <row r="13" spans="1:3" x14ac:dyDescent="0.2">
      <c r="A13" s="2">
        <v>12</v>
      </c>
      <c r="B13" s="5" t="s">
        <v>31</v>
      </c>
      <c r="C13" s="5" t="s">
        <v>208</v>
      </c>
    </row>
    <row r="14" spans="1:3" x14ac:dyDescent="0.2">
      <c r="A14" s="2">
        <v>13</v>
      </c>
      <c r="B14" s="5" t="s">
        <v>108</v>
      </c>
      <c r="C14" s="5" t="s">
        <v>209</v>
      </c>
    </row>
    <row r="15" spans="1:3" x14ac:dyDescent="0.2">
      <c r="A15" s="2">
        <v>14</v>
      </c>
      <c r="B15" s="5" t="s">
        <v>108</v>
      </c>
      <c r="C15" s="5" t="s">
        <v>210</v>
      </c>
    </row>
    <row r="16" spans="1:3" x14ac:dyDescent="0.2">
      <c r="A16" s="2">
        <v>15</v>
      </c>
      <c r="B16" s="5" t="s">
        <v>108</v>
      </c>
      <c r="C16" s="5" t="s">
        <v>211</v>
      </c>
    </row>
    <row r="17" spans="1:3" x14ac:dyDescent="0.2">
      <c r="A17" s="2">
        <v>16</v>
      </c>
      <c r="B17" s="5" t="s">
        <v>108</v>
      </c>
      <c r="C17" s="5" t="s">
        <v>212</v>
      </c>
    </row>
    <row r="21" spans="1:3" ht="15.75" customHeight="1" x14ac:dyDescent="0.2"/>
    <row r="22" spans="1:3" ht="15.75" customHeight="1" x14ac:dyDescent="0.2"/>
    <row r="23" spans="1:3" ht="15.75" customHeight="1" x14ac:dyDescent="0.2"/>
    <row r="24" spans="1:3" ht="15.75" customHeight="1" x14ac:dyDescent="0.2"/>
    <row r="25" spans="1:3" ht="15.75" customHeight="1" x14ac:dyDescent="0.2"/>
    <row r="26" spans="1:3" ht="15.75" customHeight="1" x14ac:dyDescent="0.2"/>
    <row r="27" spans="1:3" ht="15.75" customHeight="1" x14ac:dyDescent="0.2"/>
    <row r="28" spans="1:3" ht="15.75" customHeight="1" x14ac:dyDescent="0.2"/>
    <row r="29" spans="1:3" ht="15.75" customHeight="1" x14ac:dyDescent="0.2"/>
    <row r="30" spans="1:3" ht="15.75" customHeight="1" x14ac:dyDescent="0.2"/>
    <row r="31" spans="1:3" ht="15.75" customHeight="1" x14ac:dyDescent="0.2"/>
    <row r="32" spans="1:3"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000"/>
  <sheetViews>
    <sheetView workbookViewId="0"/>
  </sheetViews>
  <sheetFormatPr baseColWidth="10" defaultColWidth="14.5" defaultRowHeight="15" customHeight="1" x14ac:dyDescent="0.2"/>
  <cols>
    <col min="1" max="7" width="10.6640625" customWidth="1"/>
  </cols>
  <sheetData>
    <row r="1" spans="1:7" ht="16" x14ac:dyDescent="0.2">
      <c r="A1" s="8" t="s">
        <v>213</v>
      </c>
      <c r="B1" s="8" t="s">
        <v>174</v>
      </c>
      <c r="C1" s="8" t="s">
        <v>175</v>
      </c>
      <c r="D1" s="8" t="s">
        <v>214</v>
      </c>
      <c r="E1" s="8" t="s">
        <v>215</v>
      </c>
      <c r="F1" s="8" t="s">
        <v>176</v>
      </c>
      <c r="G1" s="8" t="s">
        <v>177</v>
      </c>
    </row>
    <row r="2" spans="1:7" ht="409.6" x14ac:dyDescent="0.2">
      <c r="A2" s="8">
        <v>1</v>
      </c>
      <c r="B2" s="8">
        <v>2</v>
      </c>
      <c r="C2" s="8" t="s">
        <v>216</v>
      </c>
      <c r="D2" s="8" t="s">
        <v>217</v>
      </c>
      <c r="E2" s="8" t="s">
        <v>218</v>
      </c>
      <c r="F2" s="11" t="s">
        <v>219</v>
      </c>
      <c r="G2" s="11" t="s">
        <v>220</v>
      </c>
    </row>
    <row r="3" spans="1:7" ht="409.6" x14ac:dyDescent="0.2">
      <c r="A3" s="8">
        <v>2</v>
      </c>
      <c r="B3" s="8">
        <v>2</v>
      </c>
      <c r="C3" s="8" t="s">
        <v>221</v>
      </c>
      <c r="D3" s="8" t="s">
        <v>222</v>
      </c>
      <c r="E3" s="8" t="s">
        <v>223</v>
      </c>
      <c r="F3" s="11" t="s">
        <v>224</v>
      </c>
      <c r="G3" s="11" t="s">
        <v>220</v>
      </c>
    </row>
    <row r="4" spans="1:7" ht="409.6" x14ac:dyDescent="0.2">
      <c r="A4" s="8">
        <v>3</v>
      </c>
      <c r="B4" s="8">
        <v>2</v>
      </c>
      <c r="C4" s="8" t="s">
        <v>225</v>
      </c>
      <c r="D4" s="8" t="s">
        <v>226</v>
      </c>
      <c r="E4" s="8" t="s">
        <v>227</v>
      </c>
      <c r="F4" s="11" t="s">
        <v>228</v>
      </c>
      <c r="G4" s="11" t="s">
        <v>220</v>
      </c>
    </row>
    <row r="5" spans="1:7" ht="409.6" x14ac:dyDescent="0.2">
      <c r="A5" s="8">
        <v>4</v>
      </c>
      <c r="B5" s="8">
        <v>2</v>
      </c>
      <c r="C5" s="8" t="s">
        <v>229</v>
      </c>
      <c r="D5" s="8" t="s">
        <v>230</v>
      </c>
      <c r="E5" s="8" t="s">
        <v>231</v>
      </c>
      <c r="F5" s="11" t="s">
        <v>232</v>
      </c>
      <c r="G5" s="11" t="s">
        <v>220</v>
      </c>
    </row>
    <row r="6" spans="1:7" ht="409.6" x14ac:dyDescent="0.2">
      <c r="A6" s="8">
        <v>5</v>
      </c>
      <c r="B6" s="8">
        <v>2</v>
      </c>
      <c r="C6" s="8" t="s">
        <v>233</v>
      </c>
      <c r="D6" s="8" t="s">
        <v>234</v>
      </c>
      <c r="E6" s="8" t="s">
        <v>235</v>
      </c>
      <c r="F6" s="11" t="s">
        <v>236</v>
      </c>
      <c r="G6" s="11" t="s">
        <v>220</v>
      </c>
    </row>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1000"/>
  <sheetViews>
    <sheetView workbookViewId="0"/>
  </sheetViews>
  <sheetFormatPr baseColWidth="10" defaultColWidth="14.5" defaultRowHeight="15" customHeight="1" x14ac:dyDescent="0.2"/>
  <cols>
    <col min="1" max="3" width="12.6640625" customWidth="1"/>
    <col min="4" max="4" width="26.83203125" customWidth="1"/>
    <col min="5" max="5" width="23" customWidth="1"/>
    <col min="6" max="7" width="29.1640625" customWidth="1"/>
    <col min="8" max="8" width="24.6640625" customWidth="1"/>
    <col min="9" max="9" width="22.6640625" customWidth="1"/>
    <col min="10" max="10" width="74.6640625" customWidth="1"/>
    <col min="11" max="26" width="10.6640625" customWidth="1"/>
  </cols>
  <sheetData>
    <row r="1" spans="1:26" ht="16" x14ac:dyDescent="0.2">
      <c r="A1" s="12" t="s">
        <v>237</v>
      </c>
      <c r="B1" s="12" t="s">
        <v>174</v>
      </c>
      <c r="C1" s="12" t="s">
        <v>213</v>
      </c>
      <c r="D1" s="12" t="s">
        <v>238</v>
      </c>
      <c r="E1" s="12" t="s">
        <v>175</v>
      </c>
      <c r="F1" s="12" t="s">
        <v>239</v>
      </c>
      <c r="G1" s="12" t="s">
        <v>240</v>
      </c>
      <c r="H1" s="12" t="s">
        <v>214</v>
      </c>
      <c r="I1" s="12" t="s">
        <v>241</v>
      </c>
      <c r="J1" s="12" t="s">
        <v>242</v>
      </c>
      <c r="K1" s="12"/>
      <c r="L1" s="12"/>
      <c r="M1" s="12"/>
      <c r="N1" s="12"/>
      <c r="O1" s="12"/>
      <c r="P1" s="12"/>
      <c r="Q1" s="12"/>
      <c r="R1" s="12"/>
      <c r="S1" s="12"/>
      <c r="T1" s="12"/>
      <c r="U1" s="12"/>
      <c r="V1" s="12"/>
      <c r="W1" s="12"/>
      <c r="X1" s="12"/>
      <c r="Y1" s="12"/>
      <c r="Z1" s="12"/>
    </row>
    <row r="2" spans="1:26" ht="96" x14ac:dyDescent="0.2">
      <c r="A2" s="12">
        <v>1</v>
      </c>
      <c r="B2" s="12">
        <v>2</v>
      </c>
      <c r="C2" s="12">
        <v>1</v>
      </c>
      <c r="D2" s="12" t="s">
        <v>243</v>
      </c>
      <c r="E2" s="12" t="s">
        <v>244</v>
      </c>
      <c r="F2" s="12" t="s">
        <v>245</v>
      </c>
      <c r="G2" s="12" t="s">
        <v>246</v>
      </c>
      <c r="H2" s="12" t="s">
        <v>247</v>
      </c>
      <c r="I2" s="12" t="s">
        <v>248</v>
      </c>
      <c r="J2" s="12" t="s">
        <v>249</v>
      </c>
      <c r="K2" s="12"/>
      <c r="L2" s="12"/>
      <c r="M2" s="12"/>
      <c r="N2" s="12"/>
      <c r="O2" s="12"/>
      <c r="P2" s="12"/>
      <c r="Q2" s="12"/>
      <c r="R2" s="12"/>
      <c r="S2" s="12"/>
      <c r="T2" s="12"/>
      <c r="U2" s="12"/>
      <c r="V2" s="12"/>
      <c r="W2" s="12"/>
      <c r="X2" s="12"/>
      <c r="Y2" s="12"/>
      <c r="Z2" s="12"/>
    </row>
    <row r="3" spans="1:26" ht="112" x14ac:dyDescent="0.2">
      <c r="A3" s="12">
        <v>2</v>
      </c>
      <c r="B3" s="12">
        <v>2</v>
      </c>
      <c r="C3" s="12">
        <v>2</v>
      </c>
      <c r="D3" s="12" t="s">
        <v>250</v>
      </c>
      <c r="E3" s="12" t="s">
        <v>251</v>
      </c>
      <c r="F3" s="12" t="s">
        <v>252</v>
      </c>
      <c r="G3" s="12" t="s">
        <v>253</v>
      </c>
      <c r="H3" s="12" t="s">
        <v>254</v>
      </c>
      <c r="I3" s="12" t="s">
        <v>255</v>
      </c>
      <c r="J3" s="12" t="s">
        <v>255</v>
      </c>
      <c r="K3" s="12"/>
      <c r="L3" s="12"/>
      <c r="M3" s="12"/>
      <c r="N3" s="12"/>
      <c r="O3" s="12"/>
      <c r="P3" s="12"/>
      <c r="Q3" s="12"/>
      <c r="R3" s="12"/>
      <c r="S3" s="12"/>
      <c r="T3" s="12"/>
      <c r="U3" s="12"/>
      <c r="V3" s="12"/>
      <c r="W3" s="12"/>
      <c r="X3" s="12"/>
      <c r="Y3" s="12"/>
      <c r="Z3" s="12"/>
    </row>
    <row r="4" spans="1:26" ht="192" x14ac:dyDescent="0.2">
      <c r="A4" s="12">
        <v>3</v>
      </c>
      <c r="B4" s="12">
        <v>2</v>
      </c>
      <c r="C4" s="12">
        <v>3</v>
      </c>
      <c r="D4" s="12" t="s">
        <v>256</v>
      </c>
      <c r="E4" s="12" t="s">
        <v>257</v>
      </c>
      <c r="F4" s="12" t="s">
        <v>258</v>
      </c>
      <c r="G4" s="12" t="s">
        <v>259</v>
      </c>
      <c r="H4" s="12" t="s">
        <v>260</v>
      </c>
      <c r="I4" s="12" t="s">
        <v>261</v>
      </c>
      <c r="J4" s="12" t="s">
        <v>262</v>
      </c>
      <c r="K4" s="12"/>
      <c r="L4" s="12"/>
      <c r="M4" s="12"/>
      <c r="N4" s="12"/>
      <c r="O4" s="12"/>
      <c r="P4" s="12"/>
      <c r="Q4" s="12"/>
      <c r="R4" s="12"/>
      <c r="S4" s="12"/>
      <c r="T4" s="12"/>
      <c r="U4" s="12"/>
      <c r="V4" s="12"/>
      <c r="W4" s="12"/>
      <c r="X4" s="12"/>
      <c r="Y4" s="12"/>
      <c r="Z4" s="12"/>
    </row>
    <row r="5" spans="1:26" ht="112" x14ac:dyDescent="0.2">
      <c r="A5" s="12">
        <v>4</v>
      </c>
      <c r="B5" s="12">
        <v>2</v>
      </c>
      <c r="C5" s="12">
        <v>4</v>
      </c>
      <c r="D5" s="12" t="s">
        <v>263</v>
      </c>
      <c r="E5" s="12" t="s">
        <v>264</v>
      </c>
      <c r="F5" s="12" t="s">
        <v>265</v>
      </c>
      <c r="G5" s="12" t="s">
        <v>246</v>
      </c>
      <c r="H5" s="12" t="s">
        <v>266</v>
      </c>
      <c r="I5" s="12" t="s">
        <v>267</v>
      </c>
      <c r="J5" s="12" t="s">
        <v>268</v>
      </c>
      <c r="K5" s="12"/>
      <c r="L5" s="12"/>
      <c r="M5" s="12"/>
      <c r="N5" s="12"/>
      <c r="O5" s="12"/>
      <c r="P5" s="12"/>
      <c r="Q5" s="12"/>
      <c r="R5" s="12"/>
      <c r="S5" s="12"/>
      <c r="T5" s="12"/>
      <c r="U5" s="12"/>
      <c r="V5" s="12"/>
      <c r="W5" s="12"/>
      <c r="X5" s="12"/>
      <c r="Y5" s="12"/>
      <c r="Z5" s="12"/>
    </row>
    <row r="6" spans="1:26" ht="112" x14ac:dyDescent="0.2">
      <c r="A6" s="12">
        <v>5</v>
      </c>
      <c r="B6" s="12">
        <v>2</v>
      </c>
      <c r="C6" s="12">
        <v>5</v>
      </c>
      <c r="D6" s="12" t="s">
        <v>269</v>
      </c>
      <c r="E6" s="12" t="s">
        <v>270</v>
      </c>
      <c r="F6" s="12" t="s">
        <v>271</v>
      </c>
      <c r="G6" s="12" t="s">
        <v>272</v>
      </c>
      <c r="H6" s="12" t="s">
        <v>273</v>
      </c>
      <c r="I6" s="12" t="s">
        <v>274</v>
      </c>
      <c r="J6" s="12" t="s">
        <v>275</v>
      </c>
      <c r="K6" s="12"/>
      <c r="L6" s="12"/>
      <c r="M6" s="12"/>
      <c r="N6" s="12"/>
      <c r="O6" s="12"/>
      <c r="P6" s="12"/>
      <c r="Q6" s="12"/>
      <c r="R6" s="12"/>
      <c r="S6" s="12"/>
      <c r="T6" s="12"/>
      <c r="U6" s="12"/>
      <c r="V6" s="12"/>
      <c r="W6" s="12"/>
      <c r="X6" s="12"/>
      <c r="Y6" s="12"/>
      <c r="Z6" s="12"/>
    </row>
    <row r="7" spans="1:26" ht="96" x14ac:dyDescent="0.2">
      <c r="A7" s="12">
        <v>6</v>
      </c>
      <c r="B7" s="12">
        <v>1</v>
      </c>
      <c r="C7" s="12"/>
      <c r="D7" s="12" t="s">
        <v>276</v>
      </c>
      <c r="E7" s="12" t="s">
        <v>277</v>
      </c>
      <c r="F7" s="12" t="s">
        <v>278</v>
      </c>
      <c r="G7" s="12" t="s">
        <v>272</v>
      </c>
      <c r="H7" s="12" t="s">
        <v>279</v>
      </c>
      <c r="I7" s="12" t="s">
        <v>280</v>
      </c>
      <c r="J7" s="12" t="s">
        <v>281</v>
      </c>
      <c r="K7" s="12"/>
      <c r="L7" s="12"/>
      <c r="M7" s="12"/>
      <c r="N7" s="12"/>
      <c r="O7" s="12"/>
      <c r="P7" s="12"/>
      <c r="Q7" s="12"/>
      <c r="R7" s="12"/>
      <c r="S7" s="12"/>
      <c r="T7" s="12"/>
      <c r="U7" s="12"/>
      <c r="V7" s="12"/>
      <c r="W7" s="12"/>
      <c r="X7" s="12"/>
      <c r="Y7" s="12"/>
      <c r="Z7" s="12"/>
    </row>
    <row r="8" spans="1:26" ht="240" x14ac:dyDescent="0.2">
      <c r="A8" s="12">
        <v>7</v>
      </c>
      <c r="B8" s="12">
        <v>2</v>
      </c>
      <c r="C8" s="12">
        <v>1</v>
      </c>
      <c r="D8" s="12" t="s">
        <v>282</v>
      </c>
      <c r="E8" s="12" t="s">
        <v>283</v>
      </c>
      <c r="F8" s="12" t="s">
        <v>284</v>
      </c>
      <c r="G8" s="12" t="s">
        <v>272</v>
      </c>
      <c r="H8" s="12" t="s">
        <v>285</v>
      </c>
      <c r="I8" s="12" t="s">
        <v>286</v>
      </c>
      <c r="J8" s="12" t="s">
        <v>287</v>
      </c>
      <c r="K8" s="12"/>
      <c r="L8" s="12"/>
      <c r="M8" s="12"/>
      <c r="N8" s="12"/>
      <c r="O8" s="12"/>
      <c r="P8" s="12"/>
      <c r="Q8" s="12"/>
      <c r="R8" s="12"/>
      <c r="S8" s="12"/>
      <c r="T8" s="12"/>
      <c r="U8" s="12"/>
      <c r="V8" s="12"/>
      <c r="W8" s="12"/>
      <c r="X8" s="12"/>
      <c r="Y8" s="12"/>
      <c r="Z8" s="12"/>
    </row>
    <row r="9" spans="1:26" ht="160" x14ac:dyDescent="0.2">
      <c r="A9" s="12">
        <v>8</v>
      </c>
      <c r="B9" s="12">
        <v>2</v>
      </c>
      <c r="C9" s="12">
        <v>4</v>
      </c>
      <c r="D9" s="12" t="s">
        <v>288</v>
      </c>
      <c r="E9" s="12" t="s">
        <v>289</v>
      </c>
      <c r="F9" s="12" t="s">
        <v>290</v>
      </c>
      <c r="G9" s="12" t="s">
        <v>291</v>
      </c>
      <c r="H9" s="12" t="s">
        <v>292</v>
      </c>
      <c r="I9" s="12" t="s">
        <v>293</v>
      </c>
      <c r="J9" s="12" t="s">
        <v>294</v>
      </c>
      <c r="K9" s="12"/>
      <c r="L9" s="12"/>
      <c r="M9" s="12"/>
      <c r="N9" s="12"/>
      <c r="O9" s="12"/>
      <c r="P9" s="12"/>
      <c r="Q9" s="12"/>
      <c r="R9" s="12"/>
      <c r="S9" s="12"/>
      <c r="T9" s="12"/>
      <c r="U9" s="12"/>
      <c r="V9" s="12"/>
      <c r="W9" s="12"/>
      <c r="X9" s="12"/>
      <c r="Y9" s="12"/>
      <c r="Z9" s="12"/>
    </row>
    <row r="10" spans="1:26" ht="176" x14ac:dyDescent="0.2">
      <c r="A10" s="12">
        <v>9</v>
      </c>
      <c r="B10" s="12">
        <v>2</v>
      </c>
      <c r="C10" s="12">
        <v>5</v>
      </c>
      <c r="D10" s="12" t="s">
        <v>295</v>
      </c>
      <c r="E10" s="12" t="s">
        <v>296</v>
      </c>
      <c r="F10" s="12" t="s">
        <v>297</v>
      </c>
      <c r="G10" s="12" t="s">
        <v>272</v>
      </c>
      <c r="H10" s="12" t="s">
        <v>298</v>
      </c>
      <c r="I10" s="12" t="s">
        <v>299</v>
      </c>
      <c r="J10" s="12" t="s">
        <v>300</v>
      </c>
      <c r="K10" s="12"/>
      <c r="L10" s="12"/>
      <c r="M10" s="12"/>
      <c r="N10" s="12"/>
      <c r="O10" s="12"/>
      <c r="P10" s="12"/>
      <c r="Q10" s="12"/>
      <c r="R10" s="12"/>
      <c r="S10" s="12"/>
      <c r="T10" s="12"/>
      <c r="U10" s="12"/>
      <c r="V10" s="12"/>
      <c r="W10" s="12"/>
      <c r="X10" s="12"/>
      <c r="Y10" s="12"/>
      <c r="Z10" s="12"/>
    </row>
    <row r="11" spans="1:26" x14ac:dyDescent="0.2">
      <c r="A11" s="12"/>
      <c r="B11" s="12"/>
      <c r="C11" s="12"/>
      <c r="D11" s="12"/>
      <c r="E11" s="12"/>
      <c r="F11" s="12"/>
      <c r="G11" s="12"/>
      <c r="H11" s="12"/>
      <c r="I11" s="12"/>
      <c r="J11" s="12"/>
      <c r="K11" s="12"/>
      <c r="L11" s="12"/>
      <c r="M11" s="12"/>
      <c r="N11" s="12"/>
      <c r="O11" s="12"/>
      <c r="P11" s="12"/>
      <c r="Q11" s="12"/>
      <c r="R11" s="12"/>
      <c r="S11" s="12"/>
      <c r="T11" s="12"/>
      <c r="U11" s="12"/>
      <c r="V11" s="12"/>
      <c r="W11" s="12"/>
      <c r="X11" s="12"/>
      <c r="Y11" s="12"/>
      <c r="Z11" s="12"/>
    </row>
    <row r="12" spans="1:26" x14ac:dyDescent="0.2">
      <c r="A12" s="12"/>
      <c r="B12" s="12"/>
      <c r="C12" s="12"/>
      <c r="D12" s="12"/>
      <c r="E12" s="12"/>
      <c r="F12" s="12"/>
      <c r="G12" s="12"/>
      <c r="H12" s="12"/>
      <c r="I12" s="12"/>
      <c r="J12" s="12"/>
      <c r="K12" s="12"/>
      <c r="L12" s="12"/>
      <c r="M12" s="12"/>
      <c r="N12" s="12"/>
      <c r="O12" s="12"/>
      <c r="P12" s="12"/>
      <c r="Q12" s="12"/>
      <c r="R12" s="12"/>
      <c r="S12" s="12"/>
      <c r="T12" s="12"/>
      <c r="U12" s="12"/>
      <c r="V12" s="12"/>
      <c r="W12" s="12"/>
      <c r="X12" s="12"/>
      <c r="Y12" s="12"/>
      <c r="Z12" s="12"/>
    </row>
    <row r="13" spans="1:26" x14ac:dyDescent="0.2">
      <c r="A13" s="12"/>
      <c r="B13" s="12"/>
      <c r="C13" s="12"/>
      <c r="D13" s="12"/>
      <c r="E13" s="12"/>
      <c r="F13" s="12"/>
      <c r="G13" s="12"/>
      <c r="H13" s="12"/>
      <c r="I13" s="12"/>
      <c r="J13" s="12"/>
      <c r="K13" s="12"/>
      <c r="L13" s="12"/>
      <c r="M13" s="12"/>
      <c r="N13" s="12"/>
      <c r="O13" s="12"/>
      <c r="P13" s="12"/>
      <c r="Q13" s="12"/>
      <c r="R13" s="12"/>
      <c r="S13" s="12"/>
      <c r="T13" s="12"/>
      <c r="U13" s="12"/>
      <c r="V13" s="12"/>
      <c r="W13" s="12"/>
      <c r="X13" s="12"/>
      <c r="Y13" s="12"/>
      <c r="Z13" s="12"/>
    </row>
    <row r="14" spans="1:26" x14ac:dyDescent="0.2">
      <c r="A14" s="12"/>
      <c r="B14" s="12"/>
      <c r="C14" s="12"/>
      <c r="D14" s="12"/>
      <c r="E14" s="12"/>
      <c r="F14" s="12"/>
      <c r="G14" s="12"/>
      <c r="H14" s="12"/>
      <c r="I14" s="12"/>
      <c r="J14" s="12"/>
      <c r="K14" s="12"/>
      <c r="L14" s="12"/>
      <c r="M14" s="12"/>
      <c r="N14" s="12"/>
      <c r="O14" s="12"/>
      <c r="P14" s="12"/>
      <c r="Q14" s="12"/>
      <c r="R14" s="12"/>
      <c r="S14" s="12"/>
      <c r="T14" s="12"/>
      <c r="U14" s="12"/>
      <c r="V14" s="12"/>
      <c r="W14" s="12"/>
      <c r="X14" s="12"/>
      <c r="Y14" s="12"/>
      <c r="Z14" s="12"/>
    </row>
    <row r="15" spans="1:26" x14ac:dyDescent="0.2">
      <c r="A15" s="12"/>
      <c r="B15" s="12"/>
      <c r="C15" s="12"/>
      <c r="D15" s="12"/>
      <c r="E15" s="12"/>
      <c r="F15" s="12"/>
      <c r="G15" s="12"/>
      <c r="H15" s="12"/>
      <c r="I15" s="12"/>
      <c r="J15" s="12"/>
      <c r="K15" s="12"/>
      <c r="L15" s="12"/>
      <c r="M15" s="12"/>
      <c r="N15" s="12"/>
      <c r="O15" s="12"/>
      <c r="P15" s="12"/>
      <c r="Q15" s="12"/>
      <c r="R15" s="12"/>
      <c r="S15" s="12"/>
      <c r="T15" s="12"/>
      <c r="U15" s="12"/>
      <c r="V15" s="12"/>
      <c r="W15" s="12"/>
      <c r="X15" s="12"/>
      <c r="Y15" s="12"/>
      <c r="Z15" s="12"/>
    </row>
    <row r="16" spans="1:26" x14ac:dyDescent="0.2">
      <c r="A16" s="12"/>
      <c r="B16" s="12"/>
      <c r="C16" s="12"/>
      <c r="D16" s="12"/>
      <c r="E16" s="12"/>
      <c r="F16" s="12"/>
      <c r="G16" s="12"/>
      <c r="H16" s="12"/>
      <c r="I16" s="12"/>
      <c r="J16" s="12"/>
      <c r="K16" s="12"/>
      <c r="L16" s="12"/>
      <c r="M16" s="12"/>
      <c r="N16" s="12"/>
      <c r="O16" s="12"/>
      <c r="P16" s="12"/>
      <c r="Q16" s="12"/>
      <c r="R16" s="12"/>
      <c r="S16" s="12"/>
      <c r="T16" s="12"/>
      <c r="U16" s="12"/>
      <c r="V16" s="12"/>
      <c r="W16" s="12"/>
      <c r="X16" s="12"/>
      <c r="Y16" s="12"/>
      <c r="Z16" s="12"/>
    </row>
    <row r="17" spans="1:26" x14ac:dyDescent="0.2">
      <c r="A17" s="12"/>
      <c r="B17" s="12"/>
      <c r="C17" s="12"/>
      <c r="D17" s="12"/>
      <c r="E17" s="12"/>
      <c r="F17" s="12"/>
      <c r="G17" s="12"/>
      <c r="H17" s="12"/>
      <c r="I17" s="12"/>
      <c r="J17" s="12"/>
      <c r="K17" s="12"/>
      <c r="L17" s="12"/>
      <c r="M17" s="12"/>
      <c r="N17" s="12"/>
      <c r="O17" s="12"/>
      <c r="P17" s="12"/>
      <c r="Q17" s="12"/>
      <c r="R17" s="12"/>
      <c r="S17" s="12"/>
      <c r="T17" s="12"/>
      <c r="U17" s="12"/>
      <c r="V17" s="12"/>
      <c r="W17" s="12"/>
      <c r="X17" s="12"/>
      <c r="Y17" s="12"/>
      <c r="Z17" s="12"/>
    </row>
    <row r="18" spans="1:26" x14ac:dyDescent="0.2">
      <c r="A18" s="12"/>
      <c r="B18" s="12"/>
      <c r="C18" s="12"/>
      <c r="D18" s="12"/>
      <c r="E18" s="12"/>
      <c r="F18" s="12"/>
      <c r="G18" s="12"/>
      <c r="H18" s="12"/>
      <c r="I18" s="12"/>
      <c r="J18" s="12"/>
      <c r="K18" s="12"/>
      <c r="L18" s="12"/>
      <c r="M18" s="12"/>
      <c r="N18" s="12"/>
      <c r="O18" s="12"/>
      <c r="P18" s="12"/>
      <c r="Q18" s="12"/>
      <c r="R18" s="12"/>
      <c r="S18" s="12"/>
      <c r="T18" s="12"/>
      <c r="U18" s="12"/>
      <c r="V18" s="12"/>
      <c r="W18" s="12"/>
      <c r="X18" s="12"/>
      <c r="Y18" s="12"/>
      <c r="Z18" s="12"/>
    </row>
    <row r="19" spans="1:26" x14ac:dyDescent="0.2">
      <c r="A19" s="12"/>
      <c r="B19" s="12"/>
      <c r="C19" s="12"/>
      <c r="D19" s="12"/>
      <c r="E19" s="12"/>
      <c r="F19" s="12"/>
      <c r="G19" s="12"/>
      <c r="H19" s="12"/>
      <c r="I19" s="12"/>
      <c r="J19" s="12"/>
      <c r="K19" s="12"/>
      <c r="L19" s="12"/>
      <c r="M19" s="12"/>
      <c r="N19" s="12"/>
      <c r="O19" s="12"/>
      <c r="P19" s="12"/>
      <c r="Q19" s="12"/>
      <c r="R19" s="12"/>
      <c r="S19" s="12"/>
      <c r="T19" s="12"/>
      <c r="U19" s="12"/>
      <c r="V19" s="12"/>
      <c r="W19" s="12"/>
      <c r="X19" s="12"/>
      <c r="Y19" s="12"/>
      <c r="Z19" s="12"/>
    </row>
    <row r="20" spans="1:26" x14ac:dyDescent="0.2">
      <c r="A20" s="12"/>
      <c r="B20" s="12"/>
      <c r="C20" s="12"/>
      <c r="D20" s="12"/>
      <c r="E20" s="12"/>
      <c r="F20" s="12"/>
      <c r="G20" s="12"/>
      <c r="H20" s="12"/>
      <c r="I20" s="12"/>
      <c r="J20" s="12"/>
      <c r="K20" s="12"/>
      <c r="L20" s="12"/>
      <c r="M20" s="12"/>
      <c r="N20" s="12"/>
      <c r="O20" s="12"/>
      <c r="P20" s="12"/>
      <c r="Q20" s="12"/>
      <c r="R20" s="12"/>
      <c r="S20" s="12"/>
      <c r="T20" s="12"/>
      <c r="U20" s="12"/>
      <c r="V20" s="12"/>
      <c r="W20" s="12"/>
      <c r="X20" s="12"/>
      <c r="Y20" s="12"/>
      <c r="Z20" s="12"/>
    </row>
    <row r="21" spans="1:26" ht="15.75" customHeight="1" x14ac:dyDescent="0.2">
      <c r="A21" s="12"/>
      <c r="B21" s="12"/>
      <c r="C21" s="12"/>
      <c r="D21" s="12"/>
      <c r="E21" s="12"/>
      <c r="F21" s="12"/>
      <c r="G21" s="12"/>
      <c r="H21" s="12"/>
      <c r="I21" s="12"/>
      <c r="J21" s="12"/>
      <c r="K21" s="12"/>
      <c r="L21" s="12"/>
      <c r="M21" s="12"/>
      <c r="N21" s="12"/>
      <c r="O21" s="12"/>
      <c r="P21" s="12"/>
      <c r="Q21" s="12"/>
      <c r="R21" s="12"/>
      <c r="S21" s="12"/>
      <c r="T21" s="12"/>
      <c r="U21" s="12"/>
      <c r="V21" s="12"/>
      <c r="W21" s="12"/>
      <c r="X21" s="12"/>
      <c r="Y21" s="12"/>
      <c r="Z21" s="12"/>
    </row>
    <row r="22" spans="1:26" ht="15.75" customHeight="1" x14ac:dyDescent="0.2">
      <c r="A22" s="12"/>
      <c r="B22" s="12"/>
      <c r="C22" s="12"/>
      <c r="D22" s="12"/>
      <c r="E22" s="12"/>
      <c r="F22" s="12"/>
      <c r="G22" s="12"/>
      <c r="H22" s="12"/>
      <c r="I22" s="12"/>
      <c r="J22" s="12"/>
      <c r="K22" s="12"/>
      <c r="L22" s="12"/>
      <c r="M22" s="12"/>
      <c r="N22" s="12"/>
      <c r="O22" s="12"/>
      <c r="P22" s="12"/>
      <c r="Q22" s="12"/>
      <c r="R22" s="12"/>
      <c r="S22" s="12"/>
      <c r="T22" s="12"/>
      <c r="U22" s="12"/>
      <c r="V22" s="12"/>
      <c r="W22" s="12"/>
      <c r="X22" s="12"/>
      <c r="Y22" s="12"/>
      <c r="Z22" s="12"/>
    </row>
    <row r="23" spans="1:26" ht="15.75" customHeight="1" x14ac:dyDescent="0.2">
      <c r="A23" s="12"/>
      <c r="B23" s="12"/>
      <c r="C23" s="12"/>
      <c r="D23" s="12"/>
      <c r="E23" s="12"/>
      <c r="F23" s="12"/>
      <c r="G23" s="12"/>
      <c r="H23" s="12"/>
      <c r="I23" s="12"/>
      <c r="J23" s="12"/>
      <c r="K23" s="12"/>
      <c r="L23" s="12"/>
      <c r="M23" s="12"/>
      <c r="N23" s="12"/>
      <c r="O23" s="12"/>
      <c r="P23" s="12"/>
      <c r="Q23" s="12"/>
      <c r="R23" s="12"/>
      <c r="S23" s="12"/>
      <c r="T23" s="12"/>
      <c r="U23" s="12"/>
      <c r="V23" s="12"/>
      <c r="W23" s="12"/>
      <c r="X23" s="12"/>
      <c r="Y23" s="12"/>
      <c r="Z23" s="12"/>
    </row>
    <row r="24" spans="1:26" ht="15.75" customHeight="1" x14ac:dyDescent="0.2">
      <c r="A24" s="12"/>
      <c r="B24" s="12"/>
      <c r="C24" s="12"/>
      <c r="D24" s="12"/>
      <c r="E24" s="12"/>
      <c r="F24" s="12"/>
      <c r="G24" s="12"/>
      <c r="H24" s="12"/>
      <c r="I24" s="12"/>
      <c r="J24" s="12"/>
      <c r="K24" s="12"/>
      <c r="L24" s="12"/>
      <c r="M24" s="12"/>
      <c r="N24" s="12"/>
      <c r="O24" s="12"/>
      <c r="P24" s="12"/>
      <c r="Q24" s="12"/>
      <c r="R24" s="12"/>
      <c r="S24" s="12"/>
      <c r="T24" s="12"/>
      <c r="U24" s="12"/>
      <c r="V24" s="12"/>
      <c r="W24" s="12"/>
      <c r="X24" s="12"/>
      <c r="Y24" s="12"/>
      <c r="Z24" s="12"/>
    </row>
    <row r="25" spans="1:26" ht="15.75" customHeight="1" x14ac:dyDescent="0.2">
      <c r="A25" s="12"/>
      <c r="B25" s="12"/>
      <c r="C25" s="12"/>
      <c r="D25" s="12"/>
      <c r="E25" s="12"/>
      <c r="F25" s="12"/>
      <c r="G25" s="12"/>
      <c r="H25" s="12"/>
      <c r="I25" s="12"/>
      <c r="J25" s="12"/>
      <c r="K25" s="12"/>
      <c r="L25" s="12"/>
      <c r="M25" s="12"/>
      <c r="N25" s="12"/>
      <c r="O25" s="12"/>
      <c r="P25" s="12"/>
      <c r="Q25" s="12"/>
      <c r="R25" s="12"/>
      <c r="S25" s="12"/>
      <c r="T25" s="12"/>
      <c r="U25" s="12"/>
      <c r="V25" s="12"/>
      <c r="W25" s="12"/>
      <c r="X25" s="12"/>
      <c r="Y25" s="12"/>
      <c r="Z25" s="12"/>
    </row>
    <row r="26" spans="1:26" ht="15.75" customHeight="1" x14ac:dyDescent="0.2">
      <c r="A26" s="12"/>
      <c r="B26" s="12"/>
      <c r="C26" s="12"/>
      <c r="D26" s="12"/>
      <c r="E26" s="12"/>
      <c r="F26" s="12"/>
      <c r="G26" s="12"/>
      <c r="H26" s="12"/>
      <c r="I26" s="12"/>
      <c r="J26" s="12"/>
      <c r="K26" s="12"/>
      <c r="L26" s="12"/>
      <c r="M26" s="12"/>
      <c r="N26" s="12"/>
      <c r="O26" s="12"/>
      <c r="P26" s="12"/>
      <c r="Q26" s="12"/>
      <c r="R26" s="12"/>
      <c r="S26" s="12"/>
      <c r="T26" s="12"/>
      <c r="U26" s="12"/>
      <c r="V26" s="12"/>
      <c r="W26" s="12"/>
      <c r="X26" s="12"/>
      <c r="Y26" s="12"/>
      <c r="Z26" s="12"/>
    </row>
    <row r="27" spans="1:26" ht="15.75" customHeight="1" x14ac:dyDescent="0.2">
      <c r="A27" s="12"/>
      <c r="B27" s="12"/>
      <c r="C27" s="12"/>
      <c r="D27" s="12"/>
      <c r="E27" s="12"/>
      <c r="F27" s="12"/>
      <c r="G27" s="12"/>
      <c r="H27" s="12"/>
      <c r="I27" s="12"/>
      <c r="J27" s="12"/>
      <c r="K27" s="12"/>
      <c r="L27" s="12"/>
      <c r="M27" s="12"/>
      <c r="N27" s="12"/>
      <c r="O27" s="12"/>
      <c r="P27" s="12"/>
      <c r="Q27" s="12"/>
      <c r="R27" s="12"/>
      <c r="S27" s="12"/>
      <c r="T27" s="12"/>
      <c r="U27" s="12"/>
      <c r="V27" s="12"/>
      <c r="W27" s="12"/>
      <c r="X27" s="12"/>
      <c r="Y27" s="12"/>
      <c r="Z27" s="12"/>
    </row>
    <row r="28" spans="1:26" ht="15.75" customHeight="1" x14ac:dyDescent="0.2">
      <c r="A28" s="12"/>
      <c r="B28" s="12"/>
      <c r="C28" s="12"/>
      <c r="D28" s="12"/>
      <c r="E28" s="12"/>
      <c r="F28" s="12"/>
      <c r="G28" s="12"/>
      <c r="H28" s="12"/>
      <c r="I28" s="12"/>
      <c r="J28" s="12"/>
      <c r="K28" s="12"/>
      <c r="L28" s="12"/>
      <c r="M28" s="12"/>
      <c r="N28" s="12"/>
      <c r="O28" s="12"/>
      <c r="P28" s="12"/>
      <c r="Q28" s="12"/>
      <c r="R28" s="12"/>
      <c r="S28" s="12"/>
      <c r="T28" s="12"/>
      <c r="U28" s="12"/>
      <c r="V28" s="12"/>
      <c r="W28" s="12"/>
      <c r="X28" s="12"/>
      <c r="Y28" s="12"/>
      <c r="Z28" s="12"/>
    </row>
    <row r="29" spans="1:26" ht="15.75" customHeight="1" x14ac:dyDescent="0.2">
      <c r="A29" s="12"/>
      <c r="B29" s="12"/>
      <c r="C29" s="12"/>
      <c r="D29" s="12"/>
      <c r="E29" s="12"/>
      <c r="F29" s="12"/>
      <c r="G29" s="12"/>
      <c r="H29" s="12"/>
      <c r="I29" s="12"/>
      <c r="J29" s="12"/>
      <c r="K29" s="12"/>
      <c r="L29" s="12"/>
      <c r="M29" s="12"/>
      <c r="N29" s="12"/>
      <c r="O29" s="12"/>
      <c r="P29" s="12"/>
      <c r="Q29" s="12"/>
      <c r="R29" s="12"/>
      <c r="S29" s="12"/>
      <c r="T29" s="12"/>
      <c r="U29" s="12"/>
      <c r="V29" s="12"/>
      <c r="W29" s="12"/>
      <c r="X29" s="12"/>
      <c r="Y29" s="12"/>
      <c r="Z29" s="12"/>
    </row>
    <row r="30" spans="1:26" ht="15.75" customHeight="1" x14ac:dyDescent="0.2">
      <c r="A30" s="12"/>
      <c r="B30" s="12"/>
      <c r="C30" s="12"/>
      <c r="D30" s="12"/>
      <c r="E30" s="12"/>
      <c r="F30" s="12"/>
      <c r="G30" s="12"/>
      <c r="H30" s="12"/>
      <c r="I30" s="12"/>
      <c r="J30" s="12"/>
      <c r="K30" s="12"/>
      <c r="L30" s="12"/>
      <c r="M30" s="12"/>
      <c r="N30" s="12"/>
      <c r="O30" s="12"/>
      <c r="P30" s="12"/>
      <c r="Q30" s="12"/>
      <c r="R30" s="12"/>
      <c r="S30" s="12"/>
      <c r="T30" s="12"/>
      <c r="U30" s="12"/>
      <c r="V30" s="12"/>
      <c r="W30" s="12"/>
      <c r="X30" s="12"/>
      <c r="Y30" s="12"/>
      <c r="Z30" s="12"/>
    </row>
    <row r="31" spans="1:26" ht="15.75" customHeight="1" x14ac:dyDescent="0.2">
      <c r="A31" s="12"/>
      <c r="B31" s="12"/>
      <c r="C31" s="12"/>
      <c r="D31" s="12"/>
      <c r="E31" s="12"/>
      <c r="F31" s="12"/>
      <c r="G31" s="12"/>
      <c r="H31" s="12"/>
      <c r="I31" s="12"/>
      <c r="J31" s="12"/>
      <c r="K31" s="12"/>
      <c r="L31" s="12"/>
      <c r="M31" s="12"/>
      <c r="N31" s="12"/>
      <c r="O31" s="12"/>
      <c r="P31" s="12"/>
      <c r="Q31" s="12"/>
      <c r="R31" s="12"/>
      <c r="S31" s="12"/>
      <c r="T31" s="12"/>
      <c r="U31" s="12"/>
      <c r="V31" s="12"/>
      <c r="W31" s="12"/>
      <c r="X31" s="12"/>
      <c r="Y31" s="12"/>
      <c r="Z31" s="12"/>
    </row>
    <row r="32" spans="1:26" ht="15.75" customHeight="1" x14ac:dyDescent="0.2">
      <c r="A32" s="12"/>
      <c r="B32" s="12"/>
      <c r="C32" s="12"/>
      <c r="D32" s="12"/>
      <c r="E32" s="12"/>
      <c r="F32" s="12"/>
      <c r="G32" s="12"/>
      <c r="H32" s="12"/>
      <c r="I32" s="12"/>
      <c r="J32" s="12"/>
      <c r="K32" s="12"/>
      <c r="L32" s="12"/>
      <c r="M32" s="12"/>
      <c r="N32" s="12"/>
      <c r="O32" s="12"/>
      <c r="P32" s="12"/>
      <c r="Q32" s="12"/>
      <c r="R32" s="12"/>
      <c r="S32" s="12"/>
      <c r="T32" s="12"/>
      <c r="U32" s="12"/>
      <c r="V32" s="12"/>
      <c r="W32" s="12"/>
      <c r="X32" s="12"/>
      <c r="Y32" s="12"/>
      <c r="Z32" s="12"/>
    </row>
    <row r="33" spans="1:26" ht="15.75" customHeight="1" x14ac:dyDescent="0.2">
      <c r="A33" s="12"/>
      <c r="B33" s="12"/>
      <c r="C33" s="12"/>
      <c r="D33" s="12"/>
      <c r="E33" s="12"/>
      <c r="F33" s="12"/>
      <c r="G33" s="12"/>
      <c r="H33" s="12"/>
      <c r="I33" s="12"/>
      <c r="J33" s="12"/>
      <c r="K33" s="12"/>
      <c r="L33" s="12"/>
      <c r="M33" s="12"/>
      <c r="N33" s="12"/>
      <c r="O33" s="12"/>
      <c r="P33" s="12"/>
      <c r="Q33" s="12"/>
      <c r="R33" s="12"/>
      <c r="S33" s="12"/>
      <c r="T33" s="12"/>
      <c r="U33" s="12"/>
      <c r="V33" s="12"/>
      <c r="W33" s="12"/>
      <c r="X33" s="12"/>
      <c r="Y33" s="12"/>
      <c r="Z33" s="12"/>
    </row>
    <row r="34" spans="1:26" ht="15.75" customHeight="1" x14ac:dyDescent="0.2">
      <c r="A34" s="12"/>
      <c r="B34" s="12"/>
      <c r="C34" s="12"/>
      <c r="D34" s="12"/>
      <c r="E34" s="12"/>
      <c r="F34" s="12"/>
      <c r="G34" s="12"/>
      <c r="H34" s="12"/>
      <c r="I34" s="12"/>
      <c r="J34" s="12"/>
      <c r="K34" s="12"/>
      <c r="L34" s="12"/>
      <c r="M34" s="12"/>
      <c r="N34" s="12"/>
      <c r="O34" s="12"/>
      <c r="P34" s="12"/>
      <c r="Q34" s="12"/>
      <c r="R34" s="12"/>
      <c r="S34" s="12"/>
      <c r="T34" s="12"/>
      <c r="U34" s="12"/>
      <c r="V34" s="12"/>
      <c r="W34" s="12"/>
      <c r="X34" s="12"/>
      <c r="Y34" s="12"/>
      <c r="Z34" s="12"/>
    </row>
    <row r="35" spans="1:26" ht="15.75" customHeight="1" x14ac:dyDescent="0.2">
      <c r="A35" s="12"/>
      <c r="B35" s="12"/>
      <c r="C35" s="12"/>
      <c r="D35" s="12"/>
      <c r="E35" s="12"/>
      <c r="F35" s="12"/>
      <c r="G35" s="12"/>
      <c r="H35" s="12"/>
      <c r="I35" s="12"/>
      <c r="J35" s="12"/>
      <c r="K35" s="12"/>
      <c r="L35" s="12"/>
      <c r="M35" s="12"/>
      <c r="N35" s="12"/>
      <c r="O35" s="12"/>
      <c r="P35" s="12"/>
      <c r="Q35" s="12"/>
      <c r="R35" s="12"/>
      <c r="S35" s="12"/>
      <c r="T35" s="12"/>
      <c r="U35" s="12"/>
      <c r="V35" s="12"/>
      <c r="W35" s="12"/>
      <c r="X35" s="12"/>
      <c r="Y35" s="12"/>
      <c r="Z35" s="12"/>
    </row>
    <row r="36" spans="1:26" ht="15.75" customHeight="1" x14ac:dyDescent="0.2">
      <c r="A36" s="12"/>
      <c r="B36" s="12"/>
      <c r="C36" s="12"/>
      <c r="D36" s="12"/>
      <c r="E36" s="12"/>
      <c r="F36" s="12"/>
      <c r="G36" s="12"/>
      <c r="H36" s="12"/>
      <c r="I36" s="12"/>
      <c r="J36" s="12"/>
      <c r="K36" s="12"/>
      <c r="L36" s="12"/>
      <c r="M36" s="12"/>
      <c r="N36" s="12"/>
      <c r="O36" s="12"/>
      <c r="P36" s="12"/>
      <c r="Q36" s="12"/>
      <c r="R36" s="12"/>
      <c r="S36" s="12"/>
      <c r="T36" s="12"/>
      <c r="U36" s="12"/>
      <c r="V36" s="12"/>
      <c r="W36" s="12"/>
      <c r="X36" s="12"/>
      <c r="Y36" s="12"/>
      <c r="Z36" s="12"/>
    </row>
    <row r="37" spans="1:26" ht="15.75" customHeight="1" x14ac:dyDescent="0.2">
      <c r="A37" s="12"/>
      <c r="B37" s="12"/>
      <c r="C37" s="12"/>
      <c r="D37" s="12"/>
      <c r="E37" s="12"/>
      <c r="F37" s="12"/>
      <c r="G37" s="12"/>
      <c r="H37" s="12"/>
      <c r="I37" s="12"/>
      <c r="J37" s="12"/>
      <c r="K37" s="12"/>
      <c r="L37" s="12"/>
      <c r="M37" s="12"/>
      <c r="N37" s="12"/>
      <c r="O37" s="12"/>
      <c r="P37" s="12"/>
      <c r="Q37" s="12"/>
      <c r="R37" s="12"/>
      <c r="S37" s="12"/>
      <c r="T37" s="12"/>
      <c r="U37" s="12"/>
      <c r="V37" s="12"/>
      <c r="W37" s="12"/>
      <c r="X37" s="12"/>
      <c r="Y37" s="12"/>
      <c r="Z37" s="12"/>
    </row>
    <row r="38" spans="1:26" ht="15.75" customHeight="1" x14ac:dyDescent="0.2">
      <c r="A38" s="12"/>
      <c r="B38" s="12"/>
      <c r="C38" s="12"/>
      <c r="D38" s="12"/>
      <c r="E38" s="12"/>
      <c r="F38" s="12"/>
      <c r="G38" s="12"/>
      <c r="H38" s="12"/>
      <c r="I38" s="12"/>
      <c r="J38" s="12"/>
      <c r="K38" s="12"/>
      <c r="L38" s="12"/>
      <c r="M38" s="12"/>
      <c r="N38" s="12"/>
      <c r="O38" s="12"/>
      <c r="P38" s="12"/>
      <c r="Q38" s="12"/>
      <c r="R38" s="12"/>
      <c r="S38" s="12"/>
      <c r="T38" s="12"/>
      <c r="U38" s="12"/>
      <c r="V38" s="12"/>
      <c r="W38" s="12"/>
      <c r="X38" s="12"/>
      <c r="Y38" s="12"/>
      <c r="Z38" s="12"/>
    </row>
    <row r="39" spans="1:26" ht="15.75" customHeight="1" x14ac:dyDescent="0.2">
      <c r="A39" s="12"/>
      <c r="B39" s="12"/>
      <c r="C39" s="12"/>
      <c r="D39" s="12"/>
      <c r="E39" s="12"/>
      <c r="F39" s="12"/>
      <c r="G39" s="12"/>
      <c r="H39" s="12"/>
      <c r="I39" s="12"/>
      <c r="J39" s="12"/>
      <c r="K39" s="12"/>
      <c r="L39" s="12"/>
      <c r="M39" s="12"/>
      <c r="N39" s="12"/>
      <c r="O39" s="12"/>
      <c r="P39" s="12"/>
      <c r="Q39" s="12"/>
      <c r="R39" s="12"/>
      <c r="S39" s="12"/>
      <c r="T39" s="12"/>
      <c r="U39" s="12"/>
      <c r="V39" s="12"/>
      <c r="W39" s="12"/>
      <c r="X39" s="12"/>
      <c r="Y39" s="12"/>
      <c r="Z39" s="12"/>
    </row>
    <row r="40" spans="1:26" ht="15.75" customHeight="1" x14ac:dyDescent="0.2">
      <c r="A40" s="12"/>
      <c r="B40" s="12"/>
      <c r="C40" s="12"/>
      <c r="D40" s="12"/>
      <c r="E40" s="12"/>
      <c r="F40" s="12"/>
      <c r="G40" s="12"/>
      <c r="H40" s="12"/>
      <c r="I40" s="12"/>
      <c r="J40" s="12"/>
      <c r="K40" s="12"/>
      <c r="L40" s="12"/>
      <c r="M40" s="12"/>
      <c r="N40" s="12"/>
      <c r="O40" s="12"/>
      <c r="P40" s="12"/>
      <c r="Q40" s="12"/>
      <c r="R40" s="12"/>
      <c r="S40" s="12"/>
      <c r="T40" s="12"/>
      <c r="U40" s="12"/>
      <c r="V40" s="12"/>
      <c r="W40" s="12"/>
      <c r="X40" s="12"/>
      <c r="Y40" s="12"/>
      <c r="Z40" s="12"/>
    </row>
    <row r="41" spans="1:26" ht="15.75" customHeight="1" x14ac:dyDescent="0.2">
      <c r="A41" s="12"/>
      <c r="B41" s="12"/>
      <c r="C41" s="12"/>
      <c r="D41" s="12"/>
      <c r="E41" s="12"/>
      <c r="F41" s="12"/>
      <c r="G41" s="12"/>
      <c r="H41" s="12"/>
      <c r="I41" s="12"/>
      <c r="J41" s="12"/>
      <c r="K41" s="12"/>
      <c r="L41" s="12"/>
      <c r="M41" s="12"/>
      <c r="N41" s="12"/>
      <c r="O41" s="12"/>
      <c r="P41" s="12"/>
      <c r="Q41" s="12"/>
      <c r="R41" s="12"/>
      <c r="S41" s="12"/>
      <c r="T41" s="12"/>
      <c r="U41" s="12"/>
      <c r="V41" s="12"/>
      <c r="W41" s="12"/>
      <c r="X41" s="12"/>
      <c r="Y41" s="12"/>
      <c r="Z41" s="12"/>
    </row>
    <row r="42" spans="1:26" ht="15.75" customHeight="1" x14ac:dyDescent="0.2">
      <c r="A42" s="12"/>
      <c r="B42" s="12"/>
      <c r="C42" s="12"/>
      <c r="D42" s="12"/>
      <c r="E42" s="12"/>
      <c r="F42" s="12"/>
      <c r="G42" s="12"/>
      <c r="H42" s="12"/>
      <c r="I42" s="12"/>
      <c r="J42" s="12"/>
      <c r="K42" s="12"/>
      <c r="L42" s="12"/>
      <c r="M42" s="12"/>
      <c r="N42" s="12"/>
      <c r="O42" s="12"/>
      <c r="P42" s="12"/>
      <c r="Q42" s="12"/>
      <c r="R42" s="12"/>
      <c r="S42" s="12"/>
      <c r="T42" s="12"/>
      <c r="U42" s="12"/>
      <c r="V42" s="12"/>
      <c r="W42" s="12"/>
      <c r="X42" s="12"/>
      <c r="Y42" s="12"/>
      <c r="Z42" s="12"/>
    </row>
    <row r="43" spans="1:26" ht="15.75" customHeight="1" x14ac:dyDescent="0.2">
      <c r="A43" s="12"/>
      <c r="B43" s="12"/>
      <c r="C43" s="12"/>
      <c r="D43" s="12"/>
      <c r="E43" s="12"/>
      <c r="F43" s="12"/>
      <c r="G43" s="12"/>
      <c r="H43" s="12"/>
      <c r="I43" s="12"/>
      <c r="J43" s="12"/>
      <c r="K43" s="12"/>
      <c r="L43" s="12"/>
      <c r="M43" s="12"/>
      <c r="N43" s="12"/>
      <c r="O43" s="12"/>
      <c r="P43" s="12"/>
      <c r="Q43" s="12"/>
      <c r="R43" s="12"/>
      <c r="S43" s="12"/>
      <c r="T43" s="12"/>
      <c r="U43" s="12"/>
      <c r="V43" s="12"/>
      <c r="W43" s="12"/>
      <c r="X43" s="12"/>
      <c r="Y43" s="12"/>
      <c r="Z43" s="12"/>
    </row>
    <row r="44" spans="1:26" ht="15.75" customHeight="1" x14ac:dyDescent="0.2">
      <c r="A44" s="12"/>
      <c r="B44" s="12"/>
      <c r="C44" s="12"/>
      <c r="D44" s="12"/>
      <c r="E44" s="12"/>
      <c r="F44" s="12"/>
      <c r="G44" s="12"/>
      <c r="H44" s="12"/>
      <c r="I44" s="12"/>
      <c r="J44" s="12"/>
      <c r="K44" s="12"/>
      <c r="L44" s="12"/>
      <c r="M44" s="12"/>
      <c r="N44" s="12"/>
      <c r="O44" s="12"/>
      <c r="P44" s="12"/>
      <c r="Q44" s="12"/>
      <c r="R44" s="12"/>
      <c r="S44" s="12"/>
      <c r="T44" s="12"/>
      <c r="U44" s="12"/>
      <c r="V44" s="12"/>
      <c r="W44" s="12"/>
      <c r="X44" s="12"/>
      <c r="Y44" s="12"/>
      <c r="Z44" s="12"/>
    </row>
    <row r="45" spans="1:26" ht="15.75" customHeight="1" x14ac:dyDescent="0.2">
      <c r="A45" s="12"/>
      <c r="B45" s="12"/>
      <c r="C45" s="12"/>
      <c r="D45" s="12"/>
      <c r="E45" s="12"/>
      <c r="F45" s="12"/>
      <c r="G45" s="12"/>
      <c r="H45" s="12"/>
      <c r="I45" s="12"/>
      <c r="J45" s="12"/>
      <c r="K45" s="12"/>
      <c r="L45" s="12"/>
      <c r="M45" s="12"/>
      <c r="N45" s="12"/>
      <c r="O45" s="12"/>
      <c r="P45" s="12"/>
      <c r="Q45" s="12"/>
      <c r="R45" s="12"/>
      <c r="S45" s="12"/>
      <c r="T45" s="12"/>
      <c r="U45" s="12"/>
      <c r="V45" s="12"/>
      <c r="W45" s="12"/>
      <c r="X45" s="12"/>
      <c r="Y45" s="12"/>
      <c r="Z45" s="12"/>
    </row>
    <row r="46" spans="1:26" ht="15.75" customHeight="1" x14ac:dyDescent="0.2">
      <c r="A46" s="12"/>
      <c r="B46" s="12"/>
      <c r="C46" s="12"/>
      <c r="D46" s="12"/>
      <c r="E46" s="12"/>
      <c r="F46" s="12"/>
      <c r="G46" s="12"/>
      <c r="H46" s="12"/>
      <c r="I46" s="12"/>
      <c r="J46" s="12"/>
      <c r="K46" s="12"/>
      <c r="L46" s="12"/>
      <c r="M46" s="12"/>
      <c r="N46" s="12"/>
      <c r="O46" s="12"/>
      <c r="P46" s="12"/>
      <c r="Q46" s="12"/>
      <c r="R46" s="12"/>
      <c r="S46" s="12"/>
      <c r="T46" s="12"/>
      <c r="U46" s="12"/>
      <c r="V46" s="12"/>
      <c r="W46" s="12"/>
      <c r="X46" s="12"/>
      <c r="Y46" s="12"/>
      <c r="Z46" s="12"/>
    </row>
    <row r="47" spans="1:26" ht="15.75" customHeight="1" x14ac:dyDescent="0.2">
      <c r="A47" s="12"/>
      <c r="B47" s="12"/>
      <c r="C47" s="12"/>
      <c r="D47" s="12"/>
      <c r="E47" s="12"/>
      <c r="F47" s="12"/>
      <c r="G47" s="12"/>
      <c r="H47" s="12"/>
      <c r="I47" s="12"/>
      <c r="J47" s="12"/>
      <c r="K47" s="12"/>
      <c r="L47" s="12"/>
      <c r="M47" s="12"/>
      <c r="N47" s="12"/>
      <c r="O47" s="12"/>
      <c r="P47" s="12"/>
      <c r="Q47" s="12"/>
      <c r="R47" s="12"/>
      <c r="S47" s="12"/>
      <c r="T47" s="12"/>
      <c r="U47" s="12"/>
      <c r="V47" s="12"/>
      <c r="W47" s="12"/>
      <c r="X47" s="12"/>
      <c r="Y47" s="12"/>
      <c r="Z47" s="12"/>
    </row>
    <row r="48" spans="1:26" ht="15.75" customHeight="1" x14ac:dyDescent="0.2">
      <c r="A48" s="12"/>
      <c r="B48" s="12"/>
      <c r="C48" s="12"/>
      <c r="D48" s="12"/>
      <c r="E48" s="12"/>
      <c r="F48" s="12"/>
      <c r="G48" s="12"/>
      <c r="H48" s="12"/>
      <c r="I48" s="12"/>
      <c r="J48" s="12"/>
      <c r="K48" s="12"/>
      <c r="L48" s="12"/>
      <c r="M48" s="12"/>
      <c r="N48" s="12"/>
      <c r="O48" s="12"/>
      <c r="P48" s="12"/>
      <c r="Q48" s="12"/>
      <c r="R48" s="12"/>
      <c r="S48" s="12"/>
      <c r="T48" s="12"/>
      <c r="U48" s="12"/>
      <c r="V48" s="12"/>
      <c r="W48" s="12"/>
      <c r="X48" s="12"/>
      <c r="Y48" s="12"/>
      <c r="Z48" s="12"/>
    </row>
    <row r="49" spans="1:26" ht="15.75" customHeight="1" x14ac:dyDescent="0.2">
      <c r="A49" s="12"/>
      <c r="B49" s="12"/>
      <c r="C49" s="12"/>
      <c r="D49" s="12"/>
      <c r="E49" s="12"/>
      <c r="F49" s="12"/>
      <c r="G49" s="12"/>
      <c r="H49" s="12"/>
      <c r="I49" s="12"/>
      <c r="J49" s="12"/>
      <c r="K49" s="12"/>
      <c r="L49" s="12"/>
      <c r="M49" s="12"/>
      <c r="N49" s="12"/>
      <c r="O49" s="12"/>
      <c r="P49" s="12"/>
      <c r="Q49" s="12"/>
      <c r="R49" s="12"/>
      <c r="S49" s="12"/>
      <c r="T49" s="12"/>
      <c r="U49" s="12"/>
      <c r="V49" s="12"/>
      <c r="W49" s="12"/>
      <c r="X49" s="12"/>
      <c r="Y49" s="12"/>
      <c r="Z49" s="12"/>
    </row>
    <row r="50" spans="1:26" ht="15.75" customHeight="1" x14ac:dyDescent="0.2">
      <c r="A50" s="12"/>
      <c r="B50" s="12"/>
      <c r="C50" s="12"/>
      <c r="D50" s="12"/>
      <c r="E50" s="12"/>
      <c r="F50" s="12"/>
      <c r="G50" s="12"/>
      <c r="H50" s="12"/>
      <c r="I50" s="12"/>
      <c r="J50" s="12"/>
      <c r="K50" s="12"/>
      <c r="L50" s="12"/>
      <c r="M50" s="12"/>
      <c r="N50" s="12"/>
      <c r="O50" s="12"/>
      <c r="P50" s="12"/>
      <c r="Q50" s="12"/>
      <c r="R50" s="12"/>
      <c r="S50" s="12"/>
      <c r="T50" s="12"/>
      <c r="U50" s="12"/>
      <c r="V50" s="12"/>
      <c r="W50" s="12"/>
      <c r="X50" s="12"/>
      <c r="Y50" s="12"/>
      <c r="Z50" s="12"/>
    </row>
    <row r="51" spans="1:26" ht="15.75" customHeight="1" x14ac:dyDescent="0.2">
      <c r="A51" s="12"/>
      <c r="B51" s="12"/>
      <c r="C51" s="12"/>
      <c r="D51" s="12"/>
      <c r="E51" s="12"/>
      <c r="F51" s="12"/>
      <c r="G51" s="12"/>
      <c r="H51" s="12"/>
      <c r="I51" s="12"/>
      <c r="J51" s="12"/>
      <c r="K51" s="12"/>
      <c r="L51" s="12"/>
      <c r="M51" s="12"/>
      <c r="N51" s="12"/>
      <c r="O51" s="12"/>
      <c r="P51" s="12"/>
      <c r="Q51" s="12"/>
      <c r="R51" s="12"/>
      <c r="S51" s="12"/>
      <c r="T51" s="12"/>
      <c r="U51" s="12"/>
      <c r="V51" s="12"/>
      <c r="W51" s="12"/>
      <c r="X51" s="12"/>
      <c r="Y51" s="12"/>
      <c r="Z51" s="12"/>
    </row>
    <row r="52" spans="1:26" ht="15.75" customHeight="1" x14ac:dyDescent="0.2">
      <c r="A52" s="12"/>
      <c r="B52" s="12"/>
      <c r="C52" s="12"/>
      <c r="D52" s="12"/>
      <c r="E52" s="12"/>
      <c r="F52" s="12"/>
      <c r="G52" s="12"/>
      <c r="H52" s="12"/>
      <c r="I52" s="12"/>
      <c r="J52" s="12"/>
      <c r="K52" s="12"/>
      <c r="L52" s="12"/>
      <c r="M52" s="12"/>
      <c r="N52" s="12"/>
      <c r="O52" s="12"/>
      <c r="P52" s="12"/>
      <c r="Q52" s="12"/>
      <c r="R52" s="12"/>
      <c r="S52" s="12"/>
      <c r="T52" s="12"/>
      <c r="U52" s="12"/>
      <c r="V52" s="12"/>
      <c r="W52" s="12"/>
      <c r="X52" s="12"/>
      <c r="Y52" s="12"/>
      <c r="Z52" s="12"/>
    </row>
    <row r="53" spans="1:26" ht="15.75" customHeight="1" x14ac:dyDescent="0.2">
      <c r="A53" s="12"/>
      <c r="B53" s="12"/>
      <c r="C53" s="12"/>
      <c r="D53" s="12"/>
      <c r="E53" s="12"/>
      <c r="F53" s="12"/>
      <c r="G53" s="12"/>
      <c r="H53" s="12"/>
      <c r="I53" s="12"/>
      <c r="J53" s="12"/>
      <c r="K53" s="12"/>
      <c r="L53" s="12"/>
      <c r="M53" s="12"/>
      <c r="N53" s="12"/>
      <c r="O53" s="12"/>
      <c r="P53" s="12"/>
      <c r="Q53" s="12"/>
      <c r="R53" s="12"/>
      <c r="S53" s="12"/>
      <c r="T53" s="12"/>
      <c r="U53" s="12"/>
      <c r="V53" s="12"/>
      <c r="W53" s="12"/>
      <c r="X53" s="12"/>
      <c r="Y53" s="12"/>
      <c r="Z53" s="12"/>
    </row>
    <row r="54" spans="1:26" ht="15.75" customHeight="1" x14ac:dyDescent="0.2">
      <c r="A54" s="12"/>
      <c r="B54" s="12"/>
      <c r="C54" s="12"/>
      <c r="D54" s="12"/>
      <c r="E54" s="12"/>
      <c r="F54" s="12"/>
      <c r="G54" s="12"/>
      <c r="H54" s="12"/>
      <c r="I54" s="12"/>
      <c r="J54" s="12"/>
      <c r="K54" s="12"/>
      <c r="L54" s="12"/>
      <c r="M54" s="12"/>
      <c r="N54" s="12"/>
      <c r="O54" s="12"/>
      <c r="P54" s="12"/>
      <c r="Q54" s="12"/>
      <c r="R54" s="12"/>
      <c r="S54" s="12"/>
      <c r="T54" s="12"/>
      <c r="U54" s="12"/>
      <c r="V54" s="12"/>
      <c r="W54" s="12"/>
      <c r="X54" s="12"/>
      <c r="Y54" s="12"/>
      <c r="Z54" s="12"/>
    </row>
    <row r="55" spans="1:26" ht="15.75" customHeight="1" x14ac:dyDescent="0.2">
      <c r="A55" s="12"/>
      <c r="B55" s="12"/>
      <c r="C55" s="12"/>
      <c r="D55" s="12"/>
      <c r="E55" s="12"/>
      <c r="F55" s="12"/>
      <c r="G55" s="12"/>
      <c r="H55" s="12"/>
      <c r="I55" s="12"/>
      <c r="J55" s="12"/>
      <c r="K55" s="12"/>
      <c r="L55" s="12"/>
      <c r="M55" s="12"/>
      <c r="N55" s="12"/>
      <c r="O55" s="12"/>
      <c r="P55" s="12"/>
      <c r="Q55" s="12"/>
      <c r="R55" s="12"/>
      <c r="S55" s="12"/>
      <c r="T55" s="12"/>
      <c r="U55" s="12"/>
      <c r="V55" s="12"/>
      <c r="W55" s="12"/>
      <c r="X55" s="12"/>
      <c r="Y55" s="12"/>
      <c r="Z55" s="12"/>
    </row>
    <row r="56" spans="1:26" ht="15.75" customHeight="1" x14ac:dyDescent="0.2">
      <c r="A56" s="12"/>
      <c r="B56" s="12"/>
      <c r="C56" s="12"/>
      <c r="D56" s="12"/>
      <c r="E56" s="12"/>
      <c r="F56" s="12"/>
      <c r="G56" s="12"/>
      <c r="H56" s="12"/>
      <c r="I56" s="12"/>
      <c r="J56" s="12"/>
      <c r="K56" s="12"/>
      <c r="L56" s="12"/>
      <c r="M56" s="12"/>
      <c r="N56" s="12"/>
      <c r="O56" s="12"/>
      <c r="P56" s="12"/>
      <c r="Q56" s="12"/>
      <c r="R56" s="12"/>
      <c r="S56" s="12"/>
      <c r="T56" s="12"/>
      <c r="U56" s="12"/>
      <c r="V56" s="12"/>
      <c r="W56" s="12"/>
      <c r="X56" s="12"/>
      <c r="Y56" s="12"/>
      <c r="Z56" s="12"/>
    </row>
    <row r="57" spans="1:26" ht="15.75" customHeight="1" x14ac:dyDescent="0.2">
      <c r="A57" s="12"/>
      <c r="B57" s="12"/>
      <c r="C57" s="12"/>
      <c r="D57" s="12"/>
      <c r="E57" s="12"/>
      <c r="F57" s="12"/>
      <c r="G57" s="12"/>
      <c r="H57" s="12"/>
      <c r="I57" s="12"/>
      <c r="J57" s="12"/>
      <c r="K57" s="12"/>
      <c r="L57" s="12"/>
      <c r="M57" s="12"/>
      <c r="N57" s="12"/>
      <c r="O57" s="12"/>
      <c r="P57" s="12"/>
      <c r="Q57" s="12"/>
      <c r="R57" s="12"/>
      <c r="S57" s="12"/>
      <c r="T57" s="12"/>
      <c r="U57" s="12"/>
      <c r="V57" s="12"/>
      <c r="W57" s="12"/>
      <c r="X57" s="12"/>
      <c r="Y57" s="12"/>
      <c r="Z57" s="12"/>
    </row>
    <row r="58" spans="1:26" ht="15.75" customHeight="1" x14ac:dyDescent="0.2">
      <c r="A58" s="12"/>
      <c r="B58" s="12"/>
      <c r="C58" s="12"/>
      <c r="D58" s="12"/>
      <c r="E58" s="12"/>
      <c r="F58" s="12"/>
      <c r="G58" s="12"/>
      <c r="H58" s="12"/>
      <c r="I58" s="12"/>
      <c r="J58" s="12"/>
      <c r="K58" s="12"/>
      <c r="L58" s="12"/>
      <c r="M58" s="12"/>
      <c r="N58" s="12"/>
      <c r="O58" s="12"/>
      <c r="P58" s="12"/>
      <c r="Q58" s="12"/>
      <c r="R58" s="12"/>
      <c r="S58" s="12"/>
      <c r="T58" s="12"/>
      <c r="U58" s="12"/>
      <c r="V58" s="12"/>
      <c r="W58" s="12"/>
      <c r="X58" s="12"/>
      <c r="Y58" s="12"/>
      <c r="Z58" s="12"/>
    </row>
    <row r="59" spans="1:26" ht="15.75" customHeight="1" x14ac:dyDescent="0.2">
      <c r="A59" s="12"/>
      <c r="B59" s="12"/>
      <c r="C59" s="12"/>
      <c r="D59" s="12"/>
      <c r="E59" s="12"/>
      <c r="F59" s="12"/>
      <c r="G59" s="12"/>
      <c r="H59" s="12"/>
      <c r="I59" s="12"/>
      <c r="J59" s="12"/>
      <c r="K59" s="12"/>
      <c r="L59" s="12"/>
      <c r="M59" s="12"/>
      <c r="N59" s="12"/>
      <c r="O59" s="12"/>
      <c r="P59" s="12"/>
      <c r="Q59" s="12"/>
      <c r="R59" s="12"/>
      <c r="S59" s="12"/>
      <c r="T59" s="12"/>
      <c r="U59" s="12"/>
      <c r="V59" s="12"/>
      <c r="W59" s="12"/>
      <c r="X59" s="12"/>
      <c r="Y59" s="12"/>
      <c r="Z59" s="12"/>
    </row>
    <row r="60" spans="1:26" ht="15.75" customHeight="1" x14ac:dyDescent="0.2">
      <c r="A60" s="12"/>
      <c r="B60" s="12"/>
      <c r="C60" s="12"/>
      <c r="D60" s="12"/>
      <c r="E60" s="12"/>
      <c r="F60" s="12"/>
      <c r="G60" s="12"/>
      <c r="H60" s="12"/>
      <c r="I60" s="12"/>
      <c r="J60" s="12"/>
      <c r="K60" s="12"/>
      <c r="L60" s="12"/>
      <c r="M60" s="12"/>
      <c r="N60" s="12"/>
      <c r="O60" s="12"/>
      <c r="P60" s="12"/>
      <c r="Q60" s="12"/>
      <c r="R60" s="12"/>
      <c r="S60" s="12"/>
      <c r="T60" s="12"/>
      <c r="U60" s="12"/>
      <c r="V60" s="12"/>
      <c r="W60" s="12"/>
      <c r="X60" s="12"/>
      <c r="Y60" s="12"/>
      <c r="Z60" s="12"/>
    </row>
    <row r="61" spans="1:26" ht="15.75" customHeight="1" x14ac:dyDescent="0.2">
      <c r="A61" s="12"/>
      <c r="B61" s="12"/>
      <c r="C61" s="12"/>
      <c r="D61" s="12"/>
      <c r="E61" s="12"/>
      <c r="F61" s="12"/>
      <c r="G61" s="12"/>
      <c r="H61" s="12"/>
      <c r="I61" s="12"/>
      <c r="J61" s="12"/>
      <c r="K61" s="12"/>
      <c r="L61" s="12"/>
      <c r="M61" s="12"/>
      <c r="N61" s="12"/>
      <c r="O61" s="12"/>
      <c r="P61" s="12"/>
      <c r="Q61" s="12"/>
      <c r="R61" s="12"/>
      <c r="S61" s="12"/>
      <c r="T61" s="12"/>
      <c r="U61" s="12"/>
      <c r="V61" s="12"/>
      <c r="W61" s="12"/>
      <c r="X61" s="12"/>
      <c r="Y61" s="12"/>
      <c r="Z61" s="12"/>
    </row>
    <row r="62" spans="1:26" ht="15.75" customHeight="1" x14ac:dyDescent="0.2">
      <c r="A62" s="12"/>
      <c r="B62" s="12"/>
      <c r="C62" s="12"/>
      <c r="D62" s="12"/>
      <c r="E62" s="12"/>
      <c r="F62" s="12"/>
      <c r="G62" s="12"/>
      <c r="H62" s="12"/>
      <c r="I62" s="12"/>
      <c r="J62" s="12"/>
      <c r="K62" s="12"/>
      <c r="L62" s="12"/>
      <c r="M62" s="12"/>
      <c r="N62" s="12"/>
      <c r="O62" s="12"/>
      <c r="P62" s="12"/>
      <c r="Q62" s="12"/>
      <c r="R62" s="12"/>
      <c r="S62" s="12"/>
      <c r="T62" s="12"/>
      <c r="U62" s="12"/>
      <c r="V62" s="12"/>
      <c r="W62" s="12"/>
      <c r="X62" s="12"/>
      <c r="Y62" s="12"/>
      <c r="Z62" s="12"/>
    </row>
    <row r="63" spans="1:26" ht="15.75" customHeight="1" x14ac:dyDescent="0.2">
      <c r="A63" s="12"/>
      <c r="B63" s="12"/>
      <c r="C63" s="12"/>
      <c r="D63" s="12"/>
      <c r="E63" s="12"/>
      <c r="F63" s="12"/>
      <c r="G63" s="12"/>
      <c r="H63" s="12"/>
      <c r="I63" s="12"/>
      <c r="J63" s="12"/>
      <c r="K63" s="12"/>
      <c r="L63" s="12"/>
      <c r="M63" s="12"/>
      <c r="N63" s="12"/>
      <c r="O63" s="12"/>
      <c r="P63" s="12"/>
      <c r="Q63" s="12"/>
      <c r="R63" s="12"/>
      <c r="S63" s="12"/>
      <c r="T63" s="12"/>
      <c r="U63" s="12"/>
      <c r="V63" s="12"/>
      <c r="W63" s="12"/>
      <c r="X63" s="12"/>
      <c r="Y63" s="12"/>
      <c r="Z63" s="12"/>
    </row>
    <row r="64" spans="1:26" ht="15.75" customHeight="1" x14ac:dyDescent="0.2">
      <c r="A64" s="12"/>
      <c r="B64" s="12"/>
      <c r="C64" s="12"/>
      <c r="D64" s="12"/>
      <c r="E64" s="12"/>
      <c r="F64" s="12"/>
      <c r="G64" s="12"/>
      <c r="H64" s="12"/>
      <c r="I64" s="12"/>
      <c r="J64" s="12"/>
      <c r="K64" s="12"/>
      <c r="L64" s="12"/>
      <c r="M64" s="12"/>
      <c r="N64" s="12"/>
      <c r="O64" s="12"/>
      <c r="P64" s="12"/>
      <c r="Q64" s="12"/>
      <c r="R64" s="12"/>
      <c r="S64" s="12"/>
      <c r="T64" s="12"/>
      <c r="U64" s="12"/>
      <c r="V64" s="12"/>
      <c r="W64" s="12"/>
      <c r="X64" s="12"/>
      <c r="Y64" s="12"/>
      <c r="Z64" s="12"/>
    </row>
    <row r="65" spans="1:26" ht="15.75" customHeight="1" x14ac:dyDescent="0.2">
      <c r="A65" s="12"/>
      <c r="B65" s="12"/>
      <c r="C65" s="12"/>
      <c r="D65" s="12"/>
      <c r="E65" s="12"/>
      <c r="F65" s="12"/>
      <c r="G65" s="12"/>
      <c r="H65" s="12"/>
      <c r="I65" s="12"/>
      <c r="J65" s="12"/>
      <c r="K65" s="12"/>
      <c r="L65" s="12"/>
      <c r="M65" s="12"/>
      <c r="N65" s="12"/>
      <c r="O65" s="12"/>
      <c r="P65" s="12"/>
      <c r="Q65" s="12"/>
      <c r="R65" s="12"/>
      <c r="S65" s="12"/>
      <c r="T65" s="12"/>
      <c r="U65" s="12"/>
      <c r="V65" s="12"/>
      <c r="W65" s="12"/>
      <c r="X65" s="12"/>
      <c r="Y65" s="12"/>
      <c r="Z65" s="12"/>
    </row>
    <row r="66" spans="1:26" ht="15.75" customHeight="1" x14ac:dyDescent="0.2">
      <c r="A66" s="12"/>
      <c r="B66" s="12"/>
      <c r="C66" s="12"/>
      <c r="D66" s="12"/>
      <c r="E66" s="12"/>
      <c r="F66" s="12"/>
      <c r="G66" s="12"/>
      <c r="H66" s="12"/>
      <c r="I66" s="12"/>
      <c r="J66" s="12"/>
      <c r="K66" s="12"/>
      <c r="L66" s="12"/>
      <c r="M66" s="12"/>
      <c r="N66" s="12"/>
      <c r="O66" s="12"/>
      <c r="P66" s="12"/>
      <c r="Q66" s="12"/>
      <c r="R66" s="12"/>
      <c r="S66" s="12"/>
      <c r="T66" s="12"/>
      <c r="U66" s="12"/>
      <c r="V66" s="12"/>
      <c r="W66" s="12"/>
      <c r="X66" s="12"/>
      <c r="Y66" s="12"/>
      <c r="Z66" s="12"/>
    </row>
    <row r="67" spans="1:26" ht="15.75" customHeight="1" x14ac:dyDescent="0.2">
      <c r="A67" s="12"/>
      <c r="B67" s="12"/>
      <c r="C67" s="12"/>
      <c r="D67" s="12"/>
      <c r="E67" s="12"/>
      <c r="F67" s="12"/>
      <c r="G67" s="12"/>
      <c r="H67" s="12"/>
      <c r="I67" s="12"/>
      <c r="J67" s="12"/>
      <c r="K67" s="12"/>
      <c r="L67" s="12"/>
      <c r="M67" s="12"/>
      <c r="N67" s="12"/>
      <c r="O67" s="12"/>
      <c r="P67" s="12"/>
      <c r="Q67" s="12"/>
      <c r="R67" s="12"/>
      <c r="S67" s="12"/>
      <c r="T67" s="12"/>
      <c r="U67" s="12"/>
      <c r="V67" s="12"/>
      <c r="W67" s="12"/>
      <c r="X67" s="12"/>
      <c r="Y67" s="12"/>
      <c r="Z67" s="12"/>
    </row>
    <row r="68" spans="1:26" ht="15.75" customHeight="1" x14ac:dyDescent="0.2">
      <c r="A68" s="12"/>
      <c r="B68" s="12"/>
      <c r="C68" s="12"/>
      <c r="D68" s="12"/>
      <c r="E68" s="12"/>
      <c r="F68" s="12"/>
      <c r="G68" s="12"/>
      <c r="H68" s="12"/>
      <c r="I68" s="12"/>
      <c r="J68" s="12"/>
      <c r="K68" s="12"/>
      <c r="L68" s="12"/>
      <c r="M68" s="12"/>
      <c r="N68" s="12"/>
      <c r="O68" s="12"/>
      <c r="P68" s="12"/>
      <c r="Q68" s="12"/>
      <c r="R68" s="12"/>
      <c r="S68" s="12"/>
      <c r="T68" s="12"/>
      <c r="U68" s="12"/>
      <c r="V68" s="12"/>
      <c r="W68" s="12"/>
      <c r="X68" s="12"/>
      <c r="Y68" s="12"/>
      <c r="Z68" s="12"/>
    </row>
    <row r="69" spans="1:26" ht="15.75" customHeight="1" x14ac:dyDescent="0.2">
      <c r="A69" s="12"/>
      <c r="B69" s="12"/>
      <c r="C69" s="12"/>
      <c r="D69" s="12"/>
      <c r="E69" s="12"/>
      <c r="F69" s="12"/>
      <c r="G69" s="12"/>
      <c r="H69" s="12"/>
      <c r="I69" s="12"/>
      <c r="J69" s="12"/>
      <c r="K69" s="12"/>
      <c r="L69" s="12"/>
      <c r="M69" s="12"/>
      <c r="N69" s="12"/>
      <c r="O69" s="12"/>
      <c r="P69" s="12"/>
      <c r="Q69" s="12"/>
      <c r="R69" s="12"/>
      <c r="S69" s="12"/>
      <c r="T69" s="12"/>
      <c r="U69" s="12"/>
      <c r="V69" s="12"/>
      <c r="W69" s="12"/>
      <c r="X69" s="12"/>
      <c r="Y69" s="12"/>
      <c r="Z69" s="12"/>
    </row>
    <row r="70" spans="1:26" ht="15.75" customHeight="1" x14ac:dyDescent="0.2">
      <c r="A70" s="12"/>
      <c r="B70" s="12"/>
      <c r="C70" s="12"/>
      <c r="D70" s="12"/>
      <c r="E70" s="12"/>
      <c r="F70" s="12"/>
      <c r="G70" s="12"/>
      <c r="H70" s="12"/>
      <c r="I70" s="12"/>
      <c r="J70" s="12"/>
      <c r="K70" s="12"/>
      <c r="L70" s="12"/>
      <c r="M70" s="12"/>
      <c r="N70" s="12"/>
      <c r="O70" s="12"/>
      <c r="P70" s="12"/>
      <c r="Q70" s="12"/>
      <c r="R70" s="12"/>
      <c r="S70" s="12"/>
      <c r="T70" s="12"/>
      <c r="U70" s="12"/>
      <c r="V70" s="12"/>
      <c r="W70" s="12"/>
      <c r="X70" s="12"/>
      <c r="Y70" s="12"/>
      <c r="Z70" s="12"/>
    </row>
    <row r="71" spans="1:26" ht="15.75" customHeight="1" x14ac:dyDescent="0.2">
      <c r="A71" s="12"/>
      <c r="B71" s="12"/>
      <c r="C71" s="12"/>
      <c r="D71" s="12"/>
      <c r="E71" s="12"/>
      <c r="F71" s="12"/>
      <c r="G71" s="12"/>
      <c r="H71" s="12"/>
      <c r="I71" s="12"/>
      <c r="J71" s="12"/>
      <c r="K71" s="12"/>
      <c r="L71" s="12"/>
      <c r="M71" s="12"/>
      <c r="N71" s="12"/>
      <c r="O71" s="12"/>
      <c r="P71" s="12"/>
      <c r="Q71" s="12"/>
      <c r="R71" s="12"/>
      <c r="S71" s="12"/>
      <c r="T71" s="12"/>
      <c r="U71" s="12"/>
      <c r="V71" s="12"/>
      <c r="W71" s="12"/>
      <c r="X71" s="12"/>
      <c r="Y71" s="12"/>
      <c r="Z71" s="12"/>
    </row>
    <row r="72" spans="1:26" ht="15.75" customHeight="1" x14ac:dyDescent="0.2">
      <c r="A72" s="12"/>
      <c r="B72" s="12"/>
      <c r="C72" s="12"/>
      <c r="D72" s="12"/>
      <c r="E72" s="12"/>
      <c r="F72" s="12"/>
      <c r="G72" s="12"/>
      <c r="H72" s="12"/>
      <c r="I72" s="12"/>
      <c r="J72" s="12"/>
      <c r="K72" s="12"/>
      <c r="L72" s="12"/>
      <c r="M72" s="12"/>
      <c r="N72" s="12"/>
      <c r="O72" s="12"/>
      <c r="P72" s="12"/>
      <c r="Q72" s="12"/>
      <c r="R72" s="12"/>
      <c r="S72" s="12"/>
      <c r="T72" s="12"/>
      <c r="U72" s="12"/>
      <c r="V72" s="12"/>
      <c r="W72" s="12"/>
      <c r="X72" s="12"/>
      <c r="Y72" s="12"/>
      <c r="Z72" s="12"/>
    </row>
    <row r="73" spans="1:26" ht="15.75" customHeight="1" x14ac:dyDescent="0.2">
      <c r="A73" s="12"/>
      <c r="B73" s="12"/>
      <c r="C73" s="12"/>
      <c r="D73" s="12"/>
      <c r="E73" s="12"/>
      <c r="F73" s="12"/>
      <c r="G73" s="12"/>
      <c r="H73" s="12"/>
      <c r="I73" s="12"/>
      <c r="J73" s="12"/>
      <c r="K73" s="12"/>
      <c r="L73" s="12"/>
      <c r="M73" s="12"/>
      <c r="N73" s="12"/>
      <c r="O73" s="12"/>
      <c r="P73" s="12"/>
      <c r="Q73" s="12"/>
      <c r="R73" s="12"/>
      <c r="S73" s="12"/>
      <c r="T73" s="12"/>
      <c r="U73" s="12"/>
      <c r="V73" s="12"/>
      <c r="W73" s="12"/>
      <c r="X73" s="12"/>
      <c r="Y73" s="12"/>
      <c r="Z73" s="12"/>
    </row>
    <row r="74" spans="1:26" ht="15.75" customHeight="1" x14ac:dyDescent="0.2">
      <c r="A74" s="12"/>
      <c r="B74" s="12"/>
      <c r="C74" s="12"/>
      <c r="D74" s="12"/>
      <c r="E74" s="12"/>
      <c r="F74" s="12"/>
      <c r="G74" s="12"/>
      <c r="H74" s="12"/>
      <c r="I74" s="12"/>
      <c r="J74" s="12"/>
      <c r="K74" s="12"/>
      <c r="L74" s="12"/>
      <c r="M74" s="12"/>
      <c r="N74" s="12"/>
      <c r="O74" s="12"/>
      <c r="P74" s="12"/>
      <c r="Q74" s="12"/>
      <c r="R74" s="12"/>
      <c r="S74" s="12"/>
      <c r="T74" s="12"/>
      <c r="U74" s="12"/>
      <c r="V74" s="12"/>
      <c r="W74" s="12"/>
      <c r="X74" s="12"/>
      <c r="Y74" s="12"/>
      <c r="Z74" s="12"/>
    </row>
    <row r="75" spans="1:26" ht="15.75" customHeight="1" x14ac:dyDescent="0.2">
      <c r="A75" s="12"/>
      <c r="B75" s="12"/>
      <c r="C75" s="12"/>
      <c r="D75" s="12"/>
      <c r="E75" s="12"/>
      <c r="F75" s="12"/>
      <c r="G75" s="12"/>
      <c r="H75" s="12"/>
      <c r="I75" s="12"/>
      <c r="J75" s="12"/>
      <c r="K75" s="12"/>
      <c r="L75" s="12"/>
      <c r="M75" s="12"/>
      <c r="N75" s="12"/>
      <c r="O75" s="12"/>
      <c r="P75" s="12"/>
      <c r="Q75" s="12"/>
      <c r="R75" s="12"/>
      <c r="S75" s="12"/>
      <c r="T75" s="12"/>
      <c r="U75" s="12"/>
      <c r="V75" s="12"/>
      <c r="W75" s="12"/>
      <c r="X75" s="12"/>
      <c r="Y75" s="12"/>
      <c r="Z75" s="12"/>
    </row>
    <row r="76" spans="1:26" ht="15.75" customHeight="1" x14ac:dyDescent="0.2">
      <c r="A76" s="12"/>
      <c r="B76" s="12"/>
      <c r="C76" s="12"/>
      <c r="D76" s="12"/>
      <c r="E76" s="12"/>
      <c r="F76" s="12"/>
      <c r="G76" s="12"/>
      <c r="H76" s="12"/>
      <c r="I76" s="12"/>
      <c r="J76" s="12"/>
      <c r="K76" s="12"/>
      <c r="L76" s="12"/>
      <c r="M76" s="12"/>
      <c r="N76" s="12"/>
      <c r="O76" s="12"/>
      <c r="P76" s="12"/>
      <c r="Q76" s="12"/>
      <c r="R76" s="12"/>
      <c r="S76" s="12"/>
      <c r="T76" s="12"/>
      <c r="U76" s="12"/>
      <c r="V76" s="12"/>
      <c r="W76" s="12"/>
      <c r="X76" s="12"/>
      <c r="Y76" s="12"/>
      <c r="Z76" s="12"/>
    </row>
    <row r="77" spans="1:26" ht="15.75" customHeight="1" x14ac:dyDescent="0.2">
      <c r="A77" s="12"/>
      <c r="B77" s="12"/>
      <c r="C77" s="12"/>
      <c r="D77" s="12"/>
      <c r="E77" s="12"/>
      <c r="F77" s="12"/>
      <c r="G77" s="12"/>
      <c r="H77" s="12"/>
      <c r="I77" s="12"/>
      <c r="J77" s="12"/>
      <c r="K77" s="12"/>
      <c r="L77" s="12"/>
      <c r="M77" s="12"/>
      <c r="N77" s="12"/>
      <c r="O77" s="12"/>
      <c r="P77" s="12"/>
      <c r="Q77" s="12"/>
      <c r="R77" s="12"/>
      <c r="S77" s="12"/>
      <c r="T77" s="12"/>
      <c r="U77" s="12"/>
      <c r="V77" s="12"/>
      <c r="W77" s="12"/>
      <c r="X77" s="12"/>
      <c r="Y77" s="12"/>
      <c r="Z77" s="12"/>
    </row>
    <row r="78" spans="1:26" ht="15.75" customHeight="1" x14ac:dyDescent="0.2">
      <c r="A78" s="12"/>
      <c r="B78" s="12"/>
      <c r="C78" s="12"/>
      <c r="D78" s="12"/>
      <c r="E78" s="12"/>
      <c r="F78" s="12"/>
      <c r="G78" s="12"/>
      <c r="H78" s="12"/>
      <c r="I78" s="12"/>
      <c r="J78" s="12"/>
      <c r="K78" s="12"/>
      <c r="L78" s="12"/>
      <c r="M78" s="12"/>
      <c r="N78" s="12"/>
      <c r="O78" s="12"/>
      <c r="P78" s="12"/>
      <c r="Q78" s="12"/>
      <c r="R78" s="12"/>
      <c r="S78" s="12"/>
      <c r="T78" s="12"/>
      <c r="U78" s="12"/>
      <c r="V78" s="12"/>
      <c r="W78" s="12"/>
      <c r="X78" s="12"/>
      <c r="Y78" s="12"/>
      <c r="Z78" s="12"/>
    </row>
    <row r="79" spans="1:26" ht="15.75" customHeight="1" x14ac:dyDescent="0.2">
      <c r="A79" s="12"/>
      <c r="B79" s="12"/>
      <c r="C79" s="12"/>
      <c r="D79" s="12"/>
      <c r="E79" s="12"/>
      <c r="F79" s="12"/>
      <c r="G79" s="12"/>
      <c r="H79" s="12"/>
      <c r="I79" s="12"/>
      <c r="J79" s="12"/>
      <c r="K79" s="12"/>
      <c r="L79" s="12"/>
      <c r="M79" s="12"/>
      <c r="N79" s="12"/>
      <c r="O79" s="12"/>
      <c r="P79" s="12"/>
      <c r="Q79" s="12"/>
      <c r="R79" s="12"/>
      <c r="S79" s="12"/>
      <c r="T79" s="12"/>
      <c r="U79" s="12"/>
      <c r="V79" s="12"/>
      <c r="W79" s="12"/>
      <c r="X79" s="12"/>
      <c r="Y79" s="12"/>
      <c r="Z79" s="12"/>
    </row>
    <row r="80" spans="1:26" ht="15.75" customHeight="1" x14ac:dyDescent="0.2">
      <c r="A80" s="12"/>
      <c r="B80" s="12"/>
      <c r="C80" s="12"/>
      <c r="D80" s="12"/>
      <c r="E80" s="12"/>
      <c r="F80" s="12"/>
      <c r="G80" s="12"/>
      <c r="H80" s="12"/>
      <c r="I80" s="12"/>
      <c r="J80" s="12"/>
      <c r="K80" s="12"/>
      <c r="L80" s="12"/>
      <c r="M80" s="12"/>
      <c r="N80" s="12"/>
      <c r="O80" s="12"/>
      <c r="P80" s="12"/>
      <c r="Q80" s="12"/>
      <c r="R80" s="12"/>
      <c r="S80" s="12"/>
      <c r="T80" s="12"/>
      <c r="U80" s="12"/>
      <c r="V80" s="12"/>
      <c r="W80" s="12"/>
      <c r="X80" s="12"/>
      <c r="Y80" s="12"/>
      <c r="Z80" s="12"/>
    </row>
    <row r="81" spans="1:26" ht="15.75" customHeight="1" x14ac:dyDescent="0.2">
      <c r="A81" s="12"/>
      <c r="B81" s="12"/>
      <c r="C81" s="12"/>
      <c r="D81" s="12"/>
      <c r="E81" s="12"/>
      <c r="F81" s="12"/>
      <c r="G81" s="12"/>
      <c r="H81" s="12"/>
      <c r="I81" s="12"/>
      <c r="J81" s="12"/>
      <c r="K81" s="12"/>
      <c r="L81" s="12"/>
      <c r="M81" s="12"/>
      <c r="N81" s="12"/>
      <c r="O81" s="12"/>
      <c r="P81" s="12"/>
      <c r="Q81" s="12"/>
      <c r="R81" s="12"/>
      <c r="S81" s="12"/>
      <c r="T81" s="12"/>
      <c r="U81" s="12"/>
      <c r="V81" s="12"/>
      <c r="W81" s="12"/>
      <c r="X81" s="12"/>
      <c r="Y81" s="12"/>
      <c r="Z81" s="12"/>
    </row>
    <row r="82" spans="1:26" ht="15.75" customHeight="1" x14ac:dyDescent="0.2">
      <c r="A82" s="12"/>
      <c r="B82" s="12"/>
      <c r="C82" s="12"/>
      <c r="D82" s="12"/>
      <c r="E82" s="12"/>
      <c r="F82" s="12"/>
      <c r="G82" s="12"/>
      <c r="H82" s="12"/>
      <c r="I82" s="12"/>
      <c r="J82" s="12"/>
      <c r="K82" s="12"/>
      <c r="L82" s="12"/>
      <c r="M82" s="12"/>
      <c r="N82" s="12"/>
      <c r="O82" s="12"/>
      <c r="P82" s="12"/>
      <c r="Q82" s="12"/>
      <c r="R82" s="12"/>
      <c r="S82" s="12"/>
      <c r="T82" s="12"/>
      <c r="U82" s="12"/>
      <c r="V82" s="12"/>
      <c r="W82" s="12"/>
      <c r="X82" s="12"/>
      <c r="Y82" s="12"/>
      <c r="Z82" s="12"/>
    </row>
    <row r="83" spans="1:26" ht="15.75" customHeight="1" x14ac:dyDescent="0.2">
      <c r="A83" s="12"/>
      <c r="B83" s="12"/>
      <c r="C83" s="12"/>
      <c r="D83" s="12"/>
      <c r="E83" s="12"/>
      <c r="F83" s="12"/>
      <c r="G83" s="12"/>
      <c r="H83" s="12"/>
      <c r="I83" s="12"/>
      <c r="J83" s="12"/>
      <c r="K83" s="12"/>
      <c r="L83" s="12"/>
      <c r="M83" s="12"/>
      <c r="N83" s="12"/>
      <c r="O83" s="12"/>
      <c r="P83" s="12"/>
      <c r="Q83" s="12"/>
      <c r="R83" s="12"/>
      <c r="S83" s="12"/>
      <c r="T83" s="12"/>
      <c r="U83" s="12"/>
      <c r="V83" s="12"/>
      <c r="W83" s="12"/>
      <c r="X83" s="12"/>
      <c r="Y83" s="12"/>
      <c r="Z83" s="12"/>
    </row>
    <row r="84" spans="1:26" ht="15.75" customHeight="1" x14ac:dyDescent="0.2">
      <c r="A84" s="12"/>
      <c r="B84" s="12"/>
      <c r="C84" s="12"/>
      <c r="D84" s="12"/>
      <c r="E84" s="12"/>
      <c r="F84" s="12"/>
      <c r="G84" s="12"/>
      <c r="H84" s="12"/>
      <c r="I84" s="12"/>
      <c r="J84" s="12"/>
      <c r="K84" s="12"/>
      <c r="L84" s="12"/>
      <c r="M84" s="12"/>
      <c r="N84" s="12"/>
      <c r="O84" s="12"/>
      <c r="P84" s="12"/>
      <c r="Q84" s="12"/>
      <c r="R84" s="12"/>
      <c r="S84" s="12"/>
      <c r="T84" s="12"/>
      <c r="U84" s="12"/>
      <c r="V84" s="12"/>
      <c r="W84" s="12"/>
      <c r="X84" s="12"/>
      <c r="Y84" s="12"/>
      <c r="Z84" s="12"/>
    </row>
    <row r="85" spans="1:26" ht="15.75" customHeight="1" x14ac:dyDescent="0.2">
      <c r="A85" s="12"/>
      <c r="B85" s="12"/>
      <c r="C85" s="12"/>
      <c r="D85" s="12"/>
      <c r="E85" s="12"/>
      <c r="F85" s="12"/>
      <c r="G85" s="12"/>
      <c r="H85" s="12"/>
      <c r="I85" s="12"/>
      <c r="J85" s="12"/>
      <c r="K85" s="12"/>
      <c r="L85" s="12"/>
      <c r="M85" s="12"/>
      <c r="N85" s="12"/>
      <c r="O85" s="12"/>
      <c r="P85" s="12"/>
      <c r="Q85" s="12"/>
      <c r="R85" s="12"/>
      <c r="S85" s="12"/>
      <c r="T85" s="12"/>
      <c r="U85" s="12"/>
      <c r="V85" s="12"/>
      <c r="W85" s="12"/>
      <c r="X85" s="12"/>
      <c r="Y85" s="12"/>
      <c r="Z85" s="12"/>
    </row>
    <row r="86" spans="1:26" ht="15.75" customHeight="1" x14ac:dyDescent="0.2">
      <c r="A86" s="12"/>
      <c r="B86" s="12"/>
      <c r="C86" s="12"/>
      <c r="D86" s="12"/>
      <c r="E86" s="12"/>
      <c r="F86" s="12"/>
      <c r="G86" s="12"/>
      <c r="H86" s="12"/>
      <c r="I86" s="12"/>
      <c r="J86" s="12"/>
      <c r="K86" s="12"/>
      <c r="L86" s="12"/>
      <c r="M86" s="12"/>
      <c r="N86" s="12"/>
      <c r="O86" s="12"/>
      <c r="P86" s="12"/>
      <c r="Q86" s="12"/>
      <c r="R86" s="12"/>
      <c r="S86" s="12"/>
      <c r="T86" s="12"/>
      <c r="U86" s="12"/>
      <c r="V86" s="12"/>
      <c r="W86" s="12"/>
      <c r="X86" s="12"/>
      <c r="Y86" s="12"/>
      <c r="Z86" s="12"/>
    </row>
    <row r="87" spans="1:26" ht="15.75" customHeight="1" x14ac:dyDescent="0.2">
      <c r="A87" s="12"/>
      <c r="B87" s="12"/>
      <c r="C87" s="12"/>
      <c r="D87" s="12"/>
      <c r="E87" s="12"/>
      <c r="F87" s="12"/>
      <c r="G87" s="12"/>
      <c r="H87" s="12"/>
      <c r="I87" s="12"/>
      <c r="J87" s="12"/>
      <c r="K87" s="12"/>
      <c r="L87" s="12"/>
      <c r="M87" s="12"/>
      <c r="N87" s="12"/>
      <c r="O87" s="12"/>
      <c r="P87" s="12"/>
      <c r="Q87" s="12"/>
      <c r="R87" s="12"/>
      <c r="S87" s="12"/>
      <c r="T87" s="12"/>
      <c r="U87" s="12"/>
      <c r="V87" s="12"/>
      <c r="W87" s="12"/>
      <c r="X87" s="12"/>
      <c r="Y87" s="12"/>
      <c r="Z87" s="12"/>
    </row>
    <row r="88" spans="1:26" ht="15.75" customHeight="1" x14ac:dyDescent="0.2">
      <c r="A88" s="12"/>
      <c r="B88" s="12"/>
      <c r="C88" s="12"/>
      <c r="D88" s="12"/>
      <c r="E88" s="12"/>
      <c r="F88" s="12"/>
      <c r="G88" s="12"/>
      <c r="H88" s="12"/>
      <c r="I88" s="12"/>
      <c r="J88" s="12"/>
      <c r="K88" s="12"/>
      <c r="L88" s="12"/>
      <c r="M88" s="12"/>
      <c r="N88" s="12"/>
      <c r="O88" s="12"/>
      <c r="P88" s="12"/>
      <c r="Q88" s="12"/>
      <c r="R88" s="12"/>
      <c r="S88" s="12"/>
      <c r="T88" s="12"/>
      <c r="U88" s="12"/>
      <c r="V88" s="12"/>
      <c r="W88" s="12"/>
      <c r="X88" s="12"/>
      <c r="Y88" s="12"/>
      <c r="Z88" s="12"/>
    </row>
    <row r="89" spans="1:26" ht="15.75" customHeight="1" x14ac:dyDescent="0.2">
      <c r="A89" s="12"/>
      <c r="B89" s="12"/>
      <c r="C89" s="12"/>
      <c r="D89" s="12"/>
      <c r="E89" s="12"/>
      <c r="F89" s="12"/>
      <c r="G89" s="12"/>
      <c r="H89" s="12"/>
      <c r="I89" s="12"/>
      <c r="J89" s="12"/>
      <c r="K89" s="12"/>
      <c r="L89" s="12"/>
      <c r="M89" s="12"/>
      <c r="N89" s="12"/>
      <c r="O89" s="12"/>
      <c r="P89" s="12"/>
      <c r="Q89" s="12"/>
      <c r="R89" s="12"/>
      <c r="S89" s="12"/>
      <c r="T89" s="12"/>
      <c r="U89" s="12"/>
      <c r="V89" s="12"/>
      <c r="W89" s="12"/>
      <c r="X89" s="12"/>
      <c r="Y89" s="12"/>
      <c r="Z89" s="12"/>
    </row>
    <row r="90" spans="1:26" ht="15.75" customHeight="1" x14ac:dyDescent="0.2">
      <c r="A90" s="12"/>
      <c r="B90" s="12"/>
      <c r="C90" s="12"/>
      <c r="D90" s="12"/>
      <c r="E90" s="12"/>
      <c r="F90" s="12"/>
      <c r="G90" s="12"/>
      <c r="H90" s="12"/>
      <c r="I90" s="12"/>
      <c r="J90" s="12"/>
      <c r="K90" s="12"/>
      <c r="L90" s="12"/>
      <c r="M90" s="12"/>
      <c r="N90" s="12"/>
      <c r="O90" s="12"/>
      <c r="P90" s="12"/>
      <c r="Q90" s="12"/>
      <c r="R90" s="12"/>
      <c r="S90" s="12"/>
      <c r="T90" s="12"/>
      <c r="U90" s="12"/>
      <c r="V90" s="12"/>
      <c r="W90" s="12"/>
      <c r="X90" s="12"/>
      <c r="Y90" s="12"/>
      <c r="Z90" s="12"/>
    </row>
    <row r="91" spans="1:26" ht="15.75" customHeight="1" x14ac:dyDescent="0.2">
      <c r="A91" s="12"/>
      <c r="B91" s="12"/>
      <c r="C91" s="12"/>
      <c r="D91" s="12"/>
      <c r="E91" s="12"/>
      <c r="F91" s="12"/>
      <c r="G91" s="12"/>
      <c r="H91" s="12"/>
      <c r="I91" s="12"/>
      <c r="J91" s="12"/>
      <c r="K91" s="12"/>
      <c r="L91" s="12"/>
      <c r="M91" s="12"/>
      <c r="N91" s="12"/>
      <c r="O91" s="12"/>
      <c r="P91" s="12"/>
      <c r="Q91" s="12"/>
      <c r="R91" s="12"/>
      <c r="S91" s="12"/>
      <c r="T91" s="12"/>
      <c r="U91" s="12"/>
      <c r="V91" s="12"/>
      <c r="W91" s="12"/>
      <c r="X91" s="12"/>
      <c r="Y91" s="12"/>
      <c r="Z91" s="12"/>
    </row>
    <row r="92" spans="1:26" ht="15.75" customHeight="1" x14ac:dyDescent="0.2">
      <c r="A92" s="12"/>
      <c r="B92" s="12"/>
      <c r="C92" s="12"/>
      <c r="D92" s="12"/>
      <c r="E92" s="12"/>
      <c r="F92" s="12"/>
      <c r="G92" s="12"/>
      <c r="H92" s="12"/>
      <c r="I92" s="12"/>
      <c r="J92" s="12"/>
      <c r="K92" s="12"/>
      <c r="L92" s="12"/>
      <c r="M92" s="12"/>
      <c r="N92" s="12"/>
      <c r="O92" s="12"/>
      <c r="P92" s="12"/>
      <c r="Q92" s="12"/>
      <c r="R92" s="12"/>
      <c r="S92" s="12"/>
      <c r="T92" s="12"/>
      <c r="U92" s="12"/>
      <c r="V92" s="12"/>
      <c r="W92" s="12"/>
      <c r="X92" s="12"/>
      <c r="Y92" s="12"/>
      <c r="Z92" s="12"/>
    </row>
    <row r="93" spans="1:26" ht="15.75" customHeight="1" x14ac:dyDescent="0.2">
      <c r="A93" s="12"/>
      <c r="B93" s="12"/>
      <c r="C93" s="12"/>
      <c r="D93" s="12"/>
      <c r="E93" s="12"/>
      <c r="F93" s="12"/>
      <c r="G93" s="12"/>
      <c r="H93" s="12"/>
      <c r="I93" s="12"/>
      <c r="J93" s="12"/>
      <c r="K93" s="12"/>
      <c r="L93" s="12"/>
      <c r="M93" s="12"/>
      <c r="N93" s="12"/>
      <c r="O93" s="12"/>
      <c r="P93" s="12"/>
      <c r="Q93" s="12"/>
      <c r="R93" s="12"/>
      <c r="S93" s="12"/>
      <c r="T93" s="12"/>
      <c r="U93" s="12"/>
      <c r="V93" s="12"/>
      <c r="W93" s="12"/>
      <c r="X93" s="12"/>
      <c r="Y93" s="12"/>
      <c r="Z93" s="12"/>
    </row>
    <row r="94" spans="1:26" ht="15.75" customHeight="1" x14ac:dyDescent="0.2">
      <c r="A94" s="12"/>
      <c r="B94" s="12"/>
      <c r="C94" s="12"/>
      <c r="D94" s="12"/>
      <c r="E94" s="12"/>
      <c r="F94" s="12"/>
      <c r="G94" s="12"/>
      <c r="H94" s="12"/>
      <c r="I94" s="12"/>
      <c r="J94" s="12"/>
      <c r="K94" s="12"/>
      <c r="L94" s="12"/>
      <c r="M94" s="12"/>
      <c r="N94" s="12"/>
      <c r="O94" s="12"/>
      <c r="P94" s="12"/>
      <c r="Q94" s="12"/>
      <c r="R94" s="12"/>
      <c r="S94" s="12"/>
      <c r="T94" s="12"/>
      <c r="U94" s="12"/>
      <c r="V94" s="12"/>
      <c r="W94" s="12"/>
      <c r="X94" s="12"/>
      <c r="Y94" s="12"/>
      <c r="Z94" s="12"/>
    </row>
    <row r="95" spans="1:26" ht="15.75" customHeight="1" x14ac:dyDescent="0.2">
      <c r="A95" s="12"/>
      <c r="B95" s="12"/>
      <c r="C95" s="12"/>
      <c r="D95" s="12"/>
      <c r="E95" s="12"/>
      <c r="F95" s="12"/>
      <c r="G95" s="12"/>
      <c r="H95" s="12"/>
      <c r="I95" s="12"/>
      <c r="J95" s="12"/>
      <c r="K95" s="12"/>
      <c r="L95" s="12"/>
      <c r="M95" s="12"/>
      <c r="N95" s="12"/>
      <c r="O95" s="12"/>
      <c r="P95" s="12"/>
      <c r="Q95" s="12"/>
      <c r="R95" s="12"/>
      <c r="S95" s="12"/>
      <c r="T95" s="12"/>
      <c r="U95" s="12"/>
      <c r="V95" s="12"/>
      <c r="W95" s="12"/>
      <c r="X95" s="12"/>
      <c r="Y95" s="12"/>
      <c r="Z95" s="12"/>
    </row>
    <row r="96" spans="1:26" ht="15.75" customHeight="1" x14ac:dyDescent="0.2">
      <c r="A96" s="12"/>
      <c r="B96" s="12"/>
      <c r="C96" s="12"/>
      <c r="D96" s="12"/>
      <c r="E96" s="12"/>
      <c r="F96" s="12"/>
      <c r="G96" s="12"/>
      <c r="H96" s="12"/>
      <c r="I96" s="12"/>
      <c r="J96" s="12"/>
      <c r="K96" s="12"/>
      <c r="L96" s="12"/>
      <c r="M96" s="12"/>
      <c r="N96" s="12"/>
      <c r="O96" s="12"/>
      <c r="P96" s="12"/>
      <c r="Q96" s="12"/>
      <c r="R96" s="12"/>
      <c r="S96" s="12"/>
      <c r="T96" s="12"/>
      <c r="U96" s="12"/>
      <c r="V96" s="12"/>
      <c r="W96" s="12"/>
      <c r="X96" s="12"/>
      <c r="Y96" s="12"/>
      <c r="Z96" s="12"/>
    </row>
    <row r="97" spans="1:26" ht="15.75" customHeight="1" x14ac:dyDescent="0.2">
      <c r="A97" s="12"/>
      <c r="B97" s="12"/>
      <c r="C97" s="12"/>
      <c r="D97" s="12"/>
      <c r="E97" s="12"/>
      <c r="F97" s="12"/>
      <c r="G97" s="12"/>
      <c r="H97" s="12"/>
      <c r="I97" s="12"/>
      <c r="J97" s="12"/>
      <c r="K97" s="12"/>
      <c r="L97" s="12"/>
      <c r="M97" s="12"/>
      <c r="N97" s="12"/>
      <c r="O97" s="12"/>
      <c r="P97" s="12"/>
      <c r="Q97" s="12"/>
      <c r="R97" s="12"/>
      <c r="S97" s="12"/>
      <c r="T97" s="12"/>
      <c r="U97" s="12"/>
      <c r="V97" s="12"/>
      <c r="W97" s="12"/>
      <c r="X97" s="12"/>
      <c r="Y97" s="12"/>
      <c r="Z97" s="12"/>
    </row>
    <row r="98" spans="1:26" ht="15.75" customHeight="1" x14ac:dyDescent="0.2">
      <c r="A98" s="12"/>
      <c r="B98" s="12"/>
      <c r="C98" s="12"/>
      <c r="D98" s="12"/>
      <c r="E98" s="12"/>
      <c r="F98" s="12"/>
      <c r="G98" s="12"/>
      <c r="H98" s="12"/>
      <c r="I98" s="12"/>
      <c r="J98" s="12"/>
      <c r="K98" s="12"/>
      <c r="L98" s="12"/>
      <c r="M98" s="12"/>
      <c r="N98" s="12"/>
      <c r="O98" s="12"/>
      <c r="P98" s="12"/>
      <c r="Q98" s="12"/>
      <c r="R98" s="12"/>
      <c r="S98" s="12"/>
      <c r="T98" s="12"/>
      <c r="U98" s="12"/>
      <c r="V98" s="12"/>
      <c r="W98" s="12"/>
      <c r="X98" s="12"/>
      <c r="Y98" s="12"/>
      <c r="Z98" s="12"/>
    </row>
    <row r="99" spans="1:26" ht="15.75" customHeight="1" x14ac:dyDescent="0.2">
      <c r="A99" s="12"/>
      <c r="B99" s="12"/>
      <c r="C99" s="12"/>
      <c r="D99" s="12"/>
      <c r="E99" s="12"/>
      <c r="F99" s="12"/>
      <c r="G99" s="12"/>
      <c r="H99" s="12"/>
      <c r="I99" s="12"/>
      <c r="J99" s="12"/>
      <c r="K99" s="12"/>
      <c r="L99" s="12"/>
      <c r="M99" s="12"/>
      <c r="N99" s="12"/>
      <c r="O99" s="12"/>
      <c r="P99" s="12"/>
      <c r="Q99" s="12"/>
      <c r="R99" s="12"/>
      <c r="S99" s="12"/>
      <c r="T99" s="12"/>
      <c r="U99" s="12"/>
      <c r="V99" s="12"/>
      <c r="W99" s="12"/>
      <c r="X99" s="12"/>
      <c r="Y99" s="12"/>
      <c r="Z99" s="12"/>
    </row>
    <row r="100" spans="1:26" ht="15.75" customHeight="1" x14ac:dyDescent="0.2">
      <c r="A100" s="12"/>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row>
    <row r="101" spans="1:26" ht="15.75" customHeight="1" x14ac:dyDescent="0.2">
      <c r="A101" s="12"/>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row>
    <row r="102" spans="1:26" ht="15.75" customHeight="1" x14ac:dyDescent="0.2">
      <c r="A102" s="12"/>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row>
    <row r="103" spans="1:26" ht="15.75" customHeight="1" x14ac:dyDescent="0.2">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row>
    <row r="104" spans="1:26" ht="15.75" customHeight="1" x14ac:dyDescent="0.2">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row>
    <row r="105" spans="1:26" ht="15.75" customHeight="1" x14ac:dyDescent="0.2">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row>
    <row r="106" spans="1:26" ht="15.75" customHeight="1" x14ac:dyDescent="0.2">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row>
    <row r="107" spans="1:26" ht="15.75" customHeight="1" x14ac:dyDescent="0.2">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row>
    <row r="108" spans="1:26" ht="15.75" customHeight="1" x14ac:dyDescent="0.2">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row>
    <row r="109" spans="1:26" ht="15.75" customHeight="1" x14ac:dyDescent="0.2">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row>
    <row r="110" spans="1:26" ht="15.75" customHeight="1" x14ac:dyDescent="0.2">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row>
    <row r="111" spans="1:26" ht="15.75" customHeight="1" x14ac:dyDescent="0.2">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row>
    <row r="112" spans="1:26" ht="15.75" customHeight="1" x14ac:dyDescent="0.2">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row>
    <row r="113" spans="1:26" ht="15.75" customHeight="1" x14ac:dyDescent="0.2">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row>
    <row r="114" spans="1:26" ht="15.75" customHeight="1" x14ac:dyDescent="0.2">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row>
    <row r="115" spans="1:26" ht="15.75" customHeight="1" x14ac:dyDescent="0.2">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row>
    <row r="116" spans="1:26" ht="15.75" customHeight="1" x14ac:dyDescent="0.2">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row>
    <row r="117" spans="1:26" ht="15.75" customHeight="1" x14ac:dyDescent="0.2">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row>
    <row r="118" spans="1:26" ht="15.75" customHeight="1" x14ac:dyDescent="0.2">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row>
    <row r="119" spans="1:26" ht="15.75" customHeight="1" x14ac:dyDescent="0.2">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row>
    <row r="120" spans="1:26" ht="15.75" customHeight="1" x14ac:dyDescent="0.2">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row>
    <row r="121" spans="1:26" ht="15.75" customHeight="1" x14ac:dyDescent="0.2">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row>
    <row r="122" spans="1:26" ht="15.75" customHeight="1" x14ac:dyDescent="0.2">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row>
    <row r="123" spans="1:26" ht="15.75" customHeight="1" x14ac:dyDescent="0.2">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row>
    <row r="124" spans="1:26" ht="15.75" customHeight="1" x14ac:dyDescent="0.2">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row>
    <row r="125" spans="1:26" ht="15.75" customHeight="1" x14ac:dyDescent="0.2">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row>
    <row r="126" spans="1:26" ht="15.75" customHeight="1" x14ac:dyDescent="0.2">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row>
    <row r="127" spans="1:26" ht="15.75" customHeight="1" x14ac:dyDescent="0.2">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row>
    <row r="128" spans="1:26" ht="15.75" customHeight="1" x14ac:dyDescent="0.2">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row>
    <row r="129" spans="1:26" ht="15.75" customHeight="1" x14ac:dyDescent="0.2">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row>
    <row r="130" spans="1:26" ht="15.75" customHeight="1" x14ac:dyDescent="0.2">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row>
    <row r="131" spans="1:26" ht="15.75" customHeight="1" x14ac:dyDescent="0.2">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row>
    <row r="132" spans="1:26" ht="15.75" customHeight="1" x14ac:dyDescent="0.2">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row>
    <row r="133" spans="1:26" ht="15.75" customHeight="1" x14ac:dyDescent="0.2">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row>
    <row r="134" spans="1:26" ht="15.75" customHeight="1" x14ac:dyDescent="0.2">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row>
    <row r="135" spans="1:26" ht="15.75" customHeight="1" x14ac:dyDescent="0.2">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row>
    <row r="136" spans="1:26" ht="15.75" customHeight="1" x14ac:dyDescent="0.2">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row>
    <row r="137" spans="1:26" ht="15.75" customHeight="1" x14ac:dyDescent="0.2">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row>
    <row r="138" spans="1:26" ht="15.75" customHeight="1" x14ac:dyDescent="0.2">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row>
    <row r="139" spans="1:26" ht="15.75" customHeight="1" x14ac:dyDescent="0.2">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row>
    <row r="140" spans="1:26" ht="15.75" customHeight="1" x14ac:dyDescent="0.2">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row>
    <row r="141" spans="1:26" ht="15.75" customHeight="1" x14ac:dyDescent="0.2">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row>
    <row r="142" spans="1:26" ht="15.75" customHeight="1" x14ac:dyDescent="0.2">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row>
    <row r="143" spans="1:26" ht="15.75" customHeight="1" x14ac:dyDescent="0.2">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row>
    <row r="144" spans="1:26" ht="15.75" customHeight="1" x14ac:dyDescent="0.2">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row>
    <row r="145" spans="1:26" ht="15.75" customHeight="1" x14ac:dyDescent="0.2">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row>
    <row r="146" spans="1:26" ht="15.75" customHeight="1" x14ac:dyDescent="0.2">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row>
    <row r="147" spans="1:26" ht="15.75" customHeight="1" x14ac:dyDescent="0.2">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row>
    <row r="148" spans="1:26" ht="15.75" customHeight="1" x14ac:dyDescent="0.2">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row>
    <row r="149" spans="1:26" ht="15.75" customHeight="1" x14ac:dyDescent="0.2">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row>
    <row r="150" spans="1:26" ht="15.75" customHeight="1" x14ac:dyDescent="0.2">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row>
    <row r="151" spans="1:26" ht="15.75" customHeight="1" x14ac:dyDescent="0.2">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row>
    <row r="152" spans="1:26" ht="15.75" customHeight="1" x14ac:dyDescent="0.2">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row>
    <row r="153" spans="1:26" ht="15.75" customHeight="1" x14ac:dyDescent="0.2">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row>
    <row r="154" spans="1:26" ht="15.75" customHeight="1" x14ac:dyDescent="0.2">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row>
    <row r="155" spans="1:26" ht="15.75" customHeight="1" x14ac:dyDescent="0.2">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row>
    <row r="156" spans="1:26" ht="15.75" customHeight="1" x14ac:dyDescent="0.2">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row>
    <row r="157" spans="1:26" ht="15.75" customHeight="1" x14ac:dyDescent="0.2">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row>
    <row r="158" spans="1:26" ht="15.75" customHeight="1" x14ac:dyDescent="0.2">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row>
    <row r="159" spans="1:26" ht="15.75" customHeight="1" x14ac:dyDescent="0.2">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row>
    <row r="160" spans="1:26" ht="15.75" customHeight="1" x14ac:dyDescent="0.2">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row>
    <row r="161" spans="1:26" ht="15.75" customHeight="1" x14ac:dyDescent="0.2">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row>
    <row r="162" spans="1:26" ht="15.75" customHeight="1" x14ac:dyDescent="0.2">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row>
    <row r="163" spans="1:26" ht="15.75" customHeight="1" x14ac:dyDescent="0.2">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row>
    <row r="164" spans="1:26" ht="15.75" customHeight="1" x14ac:dyDescent="0.2">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row>
    <row r="165" spans="1:26" ht="15.75" customHeight="1" x14ac:dyDescent="0.2">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row>
    <row r="166" spans="1:26" ht="15.75" customHeight="1" x14ac:dyDescent="0.2">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row>
    <row r="167" spans="1:26" ht="15.75" customHeight="1" x14ac:dyDescent="0.2">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row>
    <row r="168" spans="1:26" ht="15.75" customHeight="1" x14ac:dyDescent="0.2">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row>
    <row r="169" spans="1:26" ht="15.7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row>
    <row r="170" spans="1:26" ht="15.7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row>
    <row r="171" spans="1:26" ht="15.7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row>
    <row r="172" spans="1:26" ht="15.7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row>
    <row r="173" spans="1:26" ht="15.7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row>
    <row r="174" spans="1:26" ht="15.7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row>
    <row r="175" spans="1:26" ht="15.7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row>
    <row r="176" spans="1:26" ht="15.7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row>
    <row r="177" spans="1:26" ht="15.7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row>
    <row r="178" spans="1:26" ht="15.7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row>
    <row r="179" spans="1:26" ht="15.7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row>
    <row r="180" spans="1:26" ht="15.7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row>
    <row r="181" spans="1:26" ht="15.7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row>
    <row r="182" spans="1:26" ht="15.7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row>
    <row r="183" spans="1:26" ht="15.7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row>
    <row r="184" spans="1:26" ht="15.7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row>
    <row r="185" spans="1:26" ht="15.7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row>
    <row r="186" spans="1:26" ht="15.7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row>
    <row r="187" spans="1:26" ht="15.7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row>
    <row r="188" spans="1:26" ht="15.7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row>
    <row r="189" spans="1:26" ht="15.7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row>
    <row r="190" spans="1:26" ht="15.7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row>
    <row r="191" spans="1:26" ht="15.75" customHeight="1" x14ac:dyDescent="0.2">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row>
    <row r="192" spans="1:26" ht="15.75" customHeight="1" x14ac:dyDescent="0.2">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row>
    <row r="193" spans="1:26" ht="15.75" customHeight="1" x14ac:dyDescent="0.2">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row>
    <row r="194" spans="1:26" ht="15.75" customHeight="1" x14ac:dyDescent="0.2">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row>
    <row r="195" spans="1:26" ht="15.75" customHeight="1" x14ac:dyDescent="0.2">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row>
    <row r="196" spans="1:26" ht="15.75" customHeight="1" x14ac:dyDescent="0.2">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row>
    <row r="197" spans="1:26" ht="15.75" customHeight="1" x14ac:dyDescent="0.2">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row>
    <row r="198" spans="1:26" ht="15.75" customHeight="1" x14ac:dyDescent="0.2">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row>
    <row r="199" spans="1:26" ht="15.75" customHeight="1" x14ac:dyDescent="0.2">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row>
    <row r="200" spans="1:26" ht="15.75" customHeight="1" x14ac:dyDescent="0.2">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row>
    <row r="201" spans="1:26" ht="15.75" customHeight="1" x14ac:dyDescent="0.2">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row>
    <row r="202" spans="1:26" ht="15.75" customHeight="1" x14ac:dyDescent="0.2">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row>
    <row r="203" spans="1:26" ht="15.75" customHeight="1" x14ac:dyDescent="0.2">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row>
    <row r="204" spans="1:26" ht="15.75" customHeight="1" x14ac:dyDescent="0.2">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row>
    <row r="205" spans="1:26" ht="15.75" customHeight="1" x14ac:dyDescent="0.2">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row>
    <row r="206" spans="1:26" ht="15.75" customHeight="1" x14ac:dyDescent="0.2">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row>
    <row r="207" spans="1:26" ht="15.75" customHeight="1" x14ac:dyDescent="0.2">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row>
    <row r="208" spans="1:26" ht="15.75" customHeight="1" x14ac:dyDescent="0.2">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row>
    <row r="209" spans="1:26" ht="15.75" customHeight="1" x14ac:dyDescent="0.2">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row>
    <row r="210" spans="1:26" ht="15.75" customHeight="1" x14ac:dyDescent="0.2">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row>
    <row r="211" spans="1:26" ht="15.75" customHeight="1" x14ac:dyDescent="0.2">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row>
    <row r="212" spans="1:26" ht="15.75" customHeight="1" x14ac:dyDescent="0.2">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row>
    <row r="213" spans="1:26" ht="15.75" customHeight="1" x14ac:dyDescent="0.2">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row>
    <row r="214" spans="1:26" ht="15.75" customHeight="1" x14ac:dyDescent="0.2">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row>
    <row r="215" spans="1:26" ht="15.75" customHeight="1" x14ac:dyDescent="0.2">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row>
    <row r="216" spans="1:26" ht="15.75" customHeight="1" x14ac:dyDescent="0.2">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row>
    <row r="217" spans="1:26" ht="15.75" customHeight="1" x14ac:dyDescent="0.2">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row>
    <row r="218" spans="1:26" ht="15.75" customHeight="1" x14ac:dyDescent="0.2">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row>
    <row r="219" spans="1:26" ht="15.75" customHeight="1" x14ac:dyDescent="0.2">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row>
    <row r="220" spans="1:26" ht="15.75" customHeight="1" x14ac:dyDescent="0.2">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row>
    <row r="221" spans="1:26" ht="15.75" customHeight="1" x14ac:dyDescent="0.2"/>
    <row r="222" spans="1:26" ht="15.75" customHeight="1" x14ac:dyDescent="0.2"/>
    <row r="223" spans="1:26" ht="15.75" customHeight="1" x14ac:dyDescent="0.2"/>
    <row r="224" spans="1:26"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13</vt:i4>
      </vt:variant>
    </vt:vector>
  </HeadingPairs>
  <TitlesOfParts>
    <vt:vector size="13" baseType="lpstr">
      <vt:lpstr>courses</vt:lpstr>
      <vt:lpstr>requisites</vt:lpstr>
      <vt:lpstr>course_requisites</vt:lpstr>
      <vt:lpstr>exclusions</vt:lpstr>
      <vt:lpstr>course_exclusions</vt:lpstr>
      <vt:lpstr>programs</vt:lpstr>
      <vt:lpstr>courses_program1</vt:lpstr>
      <vt:lpstr>requisites_program1</vt:lpstr>
      <vt:lpstr>courses_program2</vt:lpstr>
      <vt:lpstr>requisites_program2</vt:lpstr>
      <vt:lpstr>equivalencies</vt:lpstr>
      <vt:lpstr>tracks</vt:lpstr>
      <vt:lpstr>reflections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Work Learn</cp:lastModifiedBy>
  <dcterms:modified xsi:type="dcterms:W3CDTF">2025-11-17T20:34:43Z</dcterms:modified>
</cp:coreProperties>
</file>