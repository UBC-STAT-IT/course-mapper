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4"/>
    <sheet state="visible" name="requisites" sheetId="2" r:id="rId5"/>
    <sheet state="visible" name="course_requisites" sheetId="3" r:id="rId6"/>
    <sheet state="visible" name="exclusions" sheetId="4" r:id="rId7"/>
    <sheet state="visible" name="course_exclusions" sheetId="5" r:id="rId8"/>
    <sheet state="visible" name="programs" sheetId="6" r:id="rId9"/>
    <sheet state="visible" name="courses_program1" sheetId="7" r:id="rId10"/>
    <sheet state="visible" name="requisites_program1" sheetId="8" r:id="rId11"/>
    <sheet state="visible" name="courses_program2" sheetId="9" r:id="rId12"/>
    <sheet state="visible" name="requisites_program2" sheetId="10" r:id="rId13"/>
    <sheet state="visible" name="equivalencies" sheetId="11" r:id="rId14"/>
    <sheet state="visible" name="tracks" sheetId="12" r:id="rId15"/>
    <sheet state="visible" name="reflections" sheetId="13" r:id="rId16"/>
  </sheets>
  <definedNames/>
  <calcPr/>
</workbook>
</file>

<file path=xl/sharedStrings.xml><?xml version="1.0" encoding="utf-8"?>
<sst xmlns="http://schemas.openxmlformats.org/spreadsheetml/2006/main" count="883" uniqueCount="301">
  <si>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</si>
  <si>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</si>
  <si>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</si>
  <si>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</si>
  <si>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</si>
  <si>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</si>
  <si>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</si>
  <si>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</si>
  <si>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</si>
  <si>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</si>
  <si>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</si>
  <si>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</si>
  <si>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</si>
  <si>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</si>
  <si>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</si>
  <si>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</si>
  <si>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</si>
  <si>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</si>
  <si>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</si>
  <si>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</si>
  <si>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</si>
  <si>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</si>
  <si>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</si>
  <si>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</si>
  <si>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</si>
  <si>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</si>
  <si>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</si>
  <si>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</si>
  <si>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</si>
  <si>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</si>
  <si>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</si>
  <si>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</si>
  <si>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</si>
  <si>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</si>
  <si>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</si>
  <si>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</si>
  <si>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S305</t>
  </si>
  <si>
    <t>Introduction to Statistical Inference</t>
  </si>
  <si>
    <t xml:space="preserve">Review of probability theory. Sampling distribution theory, large sample theory and methods of estimation and hypothesis testing, including maximum likelihood estimation, likelihood ratio testing and confidence interval construction. </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</si>
  <si>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</si>
  <si>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</si>
  <si>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</si>
  <si>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</si>
  <si>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S307</t>
  </si>
  <si>
    <t>2</t>
  </si>
  <si>
    <t>Statistics Laboratory I</t>
  </si>
  <si>
    <t xml:space="preserve">Implementing theory in applications. Problem based learning. Generation and analysis of case data. Modelling, computation and reporting. </t>
  </si>
  <si>
    <t>[0-4-0]</t>
  </si>
  <si>
    <t>S308</t>
  </si>
  <si>
    <t>1</t>
  </si>
  <si>
    <t>Statistics Laboratory II</t>
  </si>
  <si>
    <t xml:space="preserve">Continuation of STAT 307. </t>
  </si>
  <si>
    <t>[0-2-0]</t>
  </si>
  <si>
    <t>S321</t>
  </si>
  <si>
    <t>4</t>
  </si>
  <si>
    <t>Stochastic Signals and Systems</t>
  </si>
  <si>
    <t>Stochastic behaviour of signals and systems (e.g., communication systems); discrete and continuous probability; random processes; modelling and identification of linear time-invariant systems; binary hypothesis testing and decision making.</t>
  </si>
  <si>
    <t>[3-0-2]</t>
  </si>
  <si>
    <t>STAT 305 may be taken concurrently, with registration assistance from the Student Programs Coordinator in the Department of Statistics. Equivalency: ELEC321. Credit excluded with ELEC_V 321</t>
  </si>
  <si>
    <t>S335</t>
  </si>
  <si>
    <t>Statistics in Quality Assurance</t>
  </si>
  <si>
    <t>Philosophy of quality improvement and total quality control. Definitions of quality. Deming's principles, Ishikawa's tools, control charts, acceptance sampling, continuous improvement, quality design.</t>
  </si>
  <si>
    <t>Credit cannot be obtained for both STAT 335 and WOOD 335. Credit excluded with WOOD_V 335</t>
  </si>
  <si>
    <t>S344</t>
  </si>
  <si>
    <t>Sample Surveys</t>
  </si>
  <si>
    <t>Planning and practice of sample surveys. Random sampling, bias and variance, unequal probability sampling, systematic, multistage and stratified sampling, ratio and regression estimators, post-stratification, establishing a frame, pretesting, pilot studies, nonresponse and additional topics.</t>
  </si>
  <si>
    <t>S404</t>
  </si>
  <si>
    <t>Design and Analysis of Experiments</t>
  </si>
  <si>
    <t>Theory and application of analysis of variance for standard experimental designs, including blocked, nested, factorial and split plot designs. Fixed and random effects, multiple comparisons, analysis of covariance.</t>
  </si>
  <si>
    <t>Credit excluded with FRST_V 430, PSYC_V 359</t>
  </si>
  <si>
    <t>S405</t>
  </si>
  <si>
    <t>Bayesian Statistics</t>
  </si>
  <si>
    <t xml:space="preserve">Bayesian approaches to statistical inference: probabilistic modelling, Bayesian inference workflows, approximation of posterior distributions supported by modelling languages, analysis of Bayesian procedures and posterior approximation methods. </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</si>
  <si>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</si>
  <si>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</si>
  <si>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</si>
  <si>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S443</t>
  </si>
  <si>
    <t>Time Series and Forecasting</t>
  </si>
  <si>
    <t xml:space="preserve">Trend and seasonality, autocorrelation, stationarity, stochastic models, exponential smoothing, Holt-Winters methods, Box-Jenkins approach, frequency domain analysis. </t>
  </si>
  <si>
    <t>S445</t>
  </si>
  <si>
    <t>Introduction to Exploratory Data Analysis</t>
  </si>
  <si>
    <t xml:space="preserve">Methods for exploring and presenting the structure of data: one group of numbers, several groups, bivariate data, time series data and two-way tables. Data displays, outlier identification, transformations, resistant regression, several types of data smoothing, comparisons with standard statistical methods. </t>
  </si>
  <si>
    <t>S447</t>
  </si>
  <si>
    <t>2-6</t>
  </si>
  <si>
    <t>Special Topics in Statistics</t>
  </si>
  <si>
    <t xml:space="preserve">Students should consult the Statistics Department for the particular topics offered in a given year. </t>
  </si>
  <si>
    <t>S449</t>
  </si>
  <si>
    <t>3-6</t>
  </si>
  <si>
    <t>Statistics Honours Project</t>
  </si>
  <si>
    <t xml:space="preserve">A research project, undertaken under the supervision of a faculty member, resulting in a written report. </t>
  </si>
  <si>
    <t>S450</t>
  </si>
  <si>
    <t>Case Studies in Statistics</t>
  </si>
  <si>
    <t xml:space="preserve">Readings and projects in areas of current statistical application including environmental science, industrial statistics, official statistics, actuarial statistics, and medical statistics. </t>
  </si>
  <si>
    <t>S460</t>
  </si>
  <si>
    <t>Statistical Inference I</t>
  </si>
  <si>
    <t>Statistical models and their properties, estimation methods, properties of point and interval estimation, likelihood, Bayesian inference.</t>
  </si>
  <si>
    <t xml:space="preserve">Intended for Honours students. </t>
  </si>
  <si>
    <t>S461</t>
  </si>
  <si>
    <t>Statistical Inference II</t>
  </si>
  <si>
    <t>Hypothesis testing and model selection in modern statistics, confidence regions, multiple testing, model comparison criteria.</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</si>
  <si>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</si>
  <si>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</si>
  <si>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</si>
  <si>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</si>
  <si>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</si>
  <si>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</si>
  <si>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</si>
  <si>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</si>
  <si>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</si>
  <si>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</si>
  <si>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</si>
  <si>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</si>
  <si>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</si>
  <si>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</si>
  <si>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</si>
  <si>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</si>
  <si>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M320</t>
  </si>
  <si>
    <t>Real Variables I</t>
  </si>
  <si>
    <t>The real number system; real Euclidean n-space; open, closed, compact, and connected sets; Bolzano-Weierstrass theorem; sequences and series. Continuity and uniform continuity. Differentiability and mean-value theorems.</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</si>
  <si>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</si>
  <si>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</si>
  <si>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</si>
  <si>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</si>
  <si>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</si>
  <si>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</si>
  <si>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requisite_id</t>
  </si>
  <si>
    <t>type</t>
  </si>
  <si>
    <t>pre</t>
  </si>
  <si>
    <t>One of any course on the MATH 100 credit exclusion list [https://vancouver.calendar.ubc.ca/faculties-colleges-and-schools/facult…], MATH 190, SCIE 001</t>
  </si>
  <si>
    <t>DSCI 100</t>
  </si>
  <si>
    <t>MATH 11. Or Pre-calculus 11</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</si>
  <si>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</si>
  <si>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</si>
  <si>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</si>
  <si>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</si>
  <si>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</si>
  <si>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Either (a) one of STAT 200, STAT 203, BIOL 300, STAT 251, COMM 291, ECON 325, FRST 231, PSYC 218, PSYC 366 and one of MATH 302, STAT 302; or (b) DSCI 200 and STAT 201 and one of MATH 302, STAT 302; or (c) a score of 65% or higher in one of MATH 302, STAT 302</t>
  </si>
  <si>
    <t>One of MATH 152, MATH 221, MATH 223</t>
  </si>
  <si>
    <t>One of STAT 200,  STAT 251, STAT 300, BIOL 300, BUSI 291, COMM 191, COMM 291, ECON 325, ECON 327, FRST 231, PSYC 218, PSYC 278</t>
  </si>
  <si>
    <t>One of STAT 302, MATH 302</t>
  </si>
  <si>
    <t>co</t>
  </si>
  <si>
    <t>STAT 306</t>
  </si>
  <si>
    <t>One of ELEC 221, STAT 305. STAT 305 may be taken concurrently, with registration assistance from the Student Programs Coordinator in the Department of Statistics.</t>
  </si>
  <si>
    <t>One of STAT 200,  STAT 251, BIOL 300</t>
  </si>
  <si>
    <t>One of STAT 200,  STAT 251, BIOL 300, COMM 291, ECON 325, ECON 327, FRST 231, PSYC 218, PSYC 278, PSYC 366</t>
  </si>
  <si>
    <t>STAT 305</t>
  </si>
  <si>
    <t>One of MATH 152, MATH 221, or MATH 223</t>
  </si>
  <si>
    <t>ECON 326 or STAT 306</t>
  </si>
  <si>
    <t>One of MATH 302, STAT 302, or MATH 418</t>
  </si>
  <si>
    <t>One of STAT 305, STAT 460</t>
  </si>
  <si>
    <t>a) One of STAT 306, CPSC 340, or b) STAT 301 and one of MATH 152, MATH 221, MATH 223 and one of STAT 302, MATH 302</t>
  </si>
  <si>
    <t>One of MATH 302, MATH 318, STAT 302</t>
  </si>
  <si>
    <t>One of STAT 200,  STAT 251, STAT 300, BIOL 300, COMM 291, ECON 325, ECON 327, FRST 231, POLI 380, PSYC 218, PSYC 278, PSYC 366</t>
  </si>
  <si>
    <t>Open to students enrolled in a Statistics Honours specialization and at class standing 4. Permission of the Undergraduate Advisor and supervising faculty member is required</t>
  </si>
  <si>
    <t>MATH 320</t>
  </si>
  <si>
    <t>STAT 460</t>
  </si>
  <si>
    <t>A score of 80% or higher in BC Pre-calculus 12. High school calculus is strongly recommended.</t>
  </si>
  <si>
    <t>One of MATH 100, MATH 102, MATH 104, MATH 110, MATH 120, MATH 180, MATH 184.</t>
  </si>
  <si>
    <t>One of MATH 101, MATH 103, MATH 105, MATH 121, SCIE 001.</t>
  </si>
  <si>
    <t>Either (a) one of MATH 100, MATH 102, MATH 104, MATH 110, MATH 120, MATH 180, MATH 184, SCIE 001 or (b) advanced credit for MATH 100, or (c) SCIE 001 as a corequisite.</t>
  </si>
  <si>
    <t>Either (a) a score of 68% or higher in MATH 226 or (b) one of MATH 200, MATH 217, MATH 226, MATH 253, MATH 254 and a score of 80% or higher in MATH 220.</t>
  </si>
  <si>
    <t>MATH 12</t>
  </si>
  <si>
    <t>›</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</si>
  <si>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</si>
  <si>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</si>
  <si>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</si>
  <si>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</si>
  <si>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</si>
  <si>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</si>
  <si>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</si>
  <si>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</si>
  <si>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</si>
  <si>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</si>
  <si>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</si>
  <si>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program_id</t>
  </si>
  <si>
    <t>name</t>
  </si>
  <si>
    <t>description1</t>
  </si>
  <si>
    <t>description2</t>
  </si>
  <si>
    <t>All Courses</t>
  </si>
  <si>
    <t>[DESCRIPTION 1]</t>
  </si>
  <si>
    <t>[DESCRIPTION 2]</t>
  </si>
  <si>
    <t>Major in Statistics</t>
  </si>
  <si>
    <t>Honours in Statistics</t>
  </si>
  <si>
    <t>Minor in Statistics</t>
  </si>
  <si>
    <t>r</t>
  </si>
  <si>
    <t>theta</t>
  </si>
  <si>
    <t>x</t>
  </si>
  <si>
    <t>y</t>
  </si>
  <si>
    <t>required</t>
  </si>
  <si>
    <t>course_x</t>
  </si>
  <si>
    <t>course_y</t>
  </si>
  <si>
    <t>requisite_x</t>
  </si>
  <si>
    <t>requisite_y</t>
  </si>
  <si>
    <t>requisite_is_primary</t>
  </si>
  <si>
    <t>course_requisite_number</t>
  </si>
  <si>
    <t>equivalency_id</t>
  </si>
  <si>
    <t>equivalency_number</t>
  </si>
  <si>
    <t>M102</t>
  </si>
  <si>
    <t>M104</t>
  </si>
  <si>
    <t>M110</t>
  </si>
  <si>
    <t>M120</t>
  </si>
  <si>
    <t>M180</t>
  </si>
  <si>
    <t>M184</t>
  </si>
  <si>
    <t>M103</t>
  </si>
  <si>
    <t>M105</t>
  </si>
  <si>
    <t>M121</t>
  </si>
  <si>
    <t>M152</t>
  </si>
  <si>
    <t>M223</t>
  </si>
  <si>
    <t>M302</t>
  </si>
  <si>
    <t>M226</t>
  </si>
  <si>
    <t>M217</t>
  </si>
  <si>
    <t>M253</t>
  </si>
  <si>
    <t>M254</t>
  </si>
  <si>
    <t>track_id</t>
  </si>
  <si>
    <t>courses</t>
  </si>
  <si>
    <t>suggested</t>
  </si>
  <si>
    <t>Differential Equations and Analysis</t>
  </si>
  <si>
    <t>MATH 300, 301, 316, 317, 319, 329, 345, 400, 405</t>
  </si>
  <si>
    <t>PHYS 301, 304, 306</t>
  </si>
  <si>
    <t>This concentration is centred on the analysis of functions and the phenomena they describe, from quantum mechanics to celestial motion. Topics in this stream have many applications in physics and engineering. If you like calculus and want to learn about some of its most important applications, this concentration is for you.</t>
  </si>
  <si>
    <t>Degree requirements for BA/BSc Major in Mathematics include:&lt;ul&gt;&lt;li&gt;Calculus I (MATH 100, 102, 104, 180, 184, 110 or 120)&lt;/li&gt;&lt;li&gt;Calculus II (MATH 101, 103, 105 or 121)&lt;/li&gt;&lt;li&gt;Calculus III (MATH 200, 217 or 226)&lt;/li&gt;&lt;li&gt;Mathematical Proof (MATH 220)&lt;/li&gt;&lt;li&gt;Linear Algebra (MATH 221 or 223)&lt;/li&gt;&lt;li&gt;Differential Equations (MATH 215)&lt;/li&gt;&lt;li&gt;Mathematical Computing (MATH 210 or CPSC 210)&lt;/li&gt;&lt;li&gt;24 credits of MATH courses numbered 300 or above&lt;/li&gt;&lt;/ul&gt;</t>
  </si>
  <si>
    <t>Computational Mathematics</t>
  </si>
  <si>
    <t>MATH 307, 316, 319, 329, 340, 360, 405, 441, 461</t>
  </si>
  <si>
    <t>CPSC 302, 303, 402, 406; PHYS 210, 410</t>
  </si>
  <si>
    <t>This concentration is centred on solving problems using numerical techniques and approximations. Topics in this concentration have many applications in engineering, economics and computing. If you like solving math problems using software and programming, this concentration is for you.</t>
  </si>
  <si>
    <t>Mathematics of Information</t>
  </si>
  <si>
    <t>MATH 302, 303, 307, 319, 329, 340, 344, 441, 442</t>
  </si>
  <si>
    <t>CPSC 340, 440; PHIL 320, 321; PHYS 310; STAT 301, 305, 306, 406</t>
  </si>
  <si>
    <t>This concentration is centred on the theoretical foundations of data science. Topics in this concentration have many applications in machine learning and signal processing. If you like algorithms and making sense of large data sets, this concentration is for you.</t>
  </si>
  <si>
    <t>Mathematical Modelling</t>
  </si>
  <si>
    <t>MATH 302, 303, 316, 319, 329, 344, 345, 360+461 &lt;strong&gt;or&lt;/strong&gt; 361+462</t>
  </si>
  <si>
    <t>CPSC 330, 421; PHIL 321; PHYS 305</t>
  </si>
  <si>
    <t>This concentration is centred on constructing and evaluating mathematical models. Topics in this stream have many applications in science, especially in mathematical biology and computational mathematics for physical problems. If you like multidisciplinary work and using mathematics to describe real-world problems, this concentration is for you.</t>
  </si>
  <si>
    <t>Classical Mathematical Structures</t>
  </si>
  <si>
    <t>MATH 308, 309, 312, 313, 319, 329, 341, 342, 442</t>
  </si>
  <si>
    <t>CPSC 424; PHIL 320, 322, 323, 420</t>
  </si>
  <si>
    <t>This concentration is centred on classical problems in two of the most enduring branches of mathematics. Topics in this concentration have modern applications in areas including cryptography and computer graphics. If you like patterns and puzzles, this concentration is for you.</t>
  </si>
  <si>
    <t>reflection_id</t>
  </si>
  <si>
    <t>image</t>
  </si>
  <si>
    <t>currently</t>
  </si>
  <si>
    <t>degrees</t>
  </si>
  <si>
    <t>quote</t>
  </si>
  <si>
    <t>reflection</t>
  </si>
  <si>
    <t>JingyuanHu.jpg</t>
  </si>
  <si>
    <t>Jingyuan Hu</t>
  </si>
  <si>
    <t>PhD Student in Operations Research</t>
  </si>
  <si>
    <t>UBC Math 2019</t>
  </si>
  <si>
    <t>MATH 300, 302, 317</t>
  </si>
  <si>
    <t>My thorough training in analysis and probability has proved immensely valuable.</t>
  </si>
  <si>
    <t>As a PhD student in Operations Research, I frequently grapple with problems related to optimization and machine learning, and my thorough training in analysis and probability has proved immensely valuable. Whether you're engaged in research or an internship, acquiring knowledge in advanced courses sooner rather than later will give you a competitive edge. After all, the earlier you start, the more margin for error you have. Talk to your teachers and classmates often – having diverse perspectives and ideas is always beneficial.</t>
  </si>
  <si>
    <t>ShuwenJiang.jpg</t>
  </si>
  <si>
    <t>Shuwen Jiang</t>
  </si>
  <si>
    <t>MSc in Finance</t>
  </si>
  <si>
    <t>UBC Math and Economics 2021</t>
  </si>
  <si>
    <t>MATH 307, 316, 340</t>
  </si>
  <si>
    <t>MATH 340 (Introduction to Linear Programming) taught me how to think about optimization problems, such as how to maximize profit with constraints on risk.</t>
  </si>
  <si>
    <t>JamesYu.png</t>
  </si>
  <si>
    <t>James Yu</t>
  </si>
  <si>
    <t>PhD Student in Economics</t>
  </si>
  <si>
    <t>UBC Math and Economics 2022</t>
  </si>
  <si>
    <t>MATH 302, 307, 340, 442</t>
  </si>
  <si>
    <t>Many everyday optimization problems can be solved through the lens of graph-analyzing algorithms.</t>
  </si>
  <si>
    <t>I took Math 442 (Graphs and Networks) to formalize my interest in studying networks, an area I now explore in studying game theory as a PhD student in Economics. My biggest takeaway from the course was the idea that many everyday optimization problems can be solved through the lens of graph-analyzing algorithms: pathfinding, scheduling, searching and more. I learned that by representing a problem as a graph of vertices and edges, we give structure to difficult, high-dimensional scenarios. These structures then allow us to efficiently solve problems via algorithmic analysis, unlocking improvements in our lives that were previously inaccessible. In my research and graduate studies, I now use many of these models to gain insight into the welfare of individuals interacting in network environments such as markets and social media. By modeling these environments with graphs, we can determine if there are opportunities for systemic change, which can lead to beneficial welfare improvements in the lives of these individuals.</t>
  </si>
  <si>
    <t>FanerChen.jpg</t>
  </si>
  <si>
    <t>Faner Chen</t>
  </si>
  <si>
    <t>Investment Banker</t>
  </si>
  <si>
    <t>MATH 302, 345, 360</t>
  </si>
  <si>
    <t>Every time I encounter big problems, I always try to break them into smaller ones and approach them step by step.</t>
  </si>
  <si>
    <t>I might not remember every single theorem I learned in class, but what I value most is the skill of problem solving and logical thinking. During my first two years at UBC, I always wondered how I can apply what I have learned to something practical. Then I took some courses in mathematical modelling, like MATH 345 and MATH 360. In these courses, some real-world problems were seemingly impossible to solve. We were expected to break them down into smaller pieces and make reasonable assumptions. In my job, every time I encounter big problems, I always try to break them into smaller ones and approach them step by step.</t>
  </si>
  <si>
    <t>JoshuaRenault.png</t>
  </si>
  <si>
    <t>Joshua Renault</t>
  </si>
  <si>
    <t>MSc Student in Math</t>
  </si>
  <si>
    <t>UBC Math 2020</t>
  </si>
  <si>
    <t>MATH 310, 312, 313</t>
  </si>
  <si>
    <t>If you allow yourself to be amazed by the discipline, you will excel.</t>
  </si>
  <si>
    <t>The abstract nature of MATH 313 (Topics in Number Theory) is fascinating. I believe that this course gave me the skills to be confident starting any proof. This course will definitely have you closing your eyes and trying to imagine different spaces, and it is totally worth it.  (Take MATH 312 not STAT 312 as a prerequisite. It’s tougher but what you learn doing the proofs is invaluable.)&lt;br&gt;&lt;br&gt;I think the best advice I can offer is to enjoy the math you are taking. It is definitely a challenging degree, but if you allow yourself to be amazed by the discipline, you will excel.</t>
  </si>
  <si>
    <t>ubc.png</t>
  </si>
  <si>
    <t>Fiona Sudihok</t>
  </si>
  <si>
    <t>Systems Engineer</t>
  </si>
  <si>
    <t>-</t>
  </si>
  <si>
    <t>Math courses are not easy and fairly rigorous, and I think that having gone through them during undergrad in general made me a better problem solver.</t>
  </si>
  <si>
    <t>Math courses are not easy and fairly rigorous, and I think that having gone through them during undergrad in general made me a better problem solver, which is a very crucial skill in my day to day work. I really enjoyed a lot of the courses I took while I was in the program, but if I could change things up I would have liked to take courses that are more connected to each other to gain deeper knowledge on certain topics, as opposed to taking a more "introductory" course at every level.</t>
  </si>
  <si>
    <t>MeganOxland.jpeg</t>
  </si>
  <si>
    <t>Megan Oxland</t>
  </si>
  <si>
    <t>MSc Student in Astrophysics</t>
  </si>
  <si>
    <t>MATH 300, 301, 316, 317, 400</t>
  </si>
  <si>
    <t>The math courses that were heavily focused on linear algebra, calculus, and differential equations turned out to be the most useful.</t>
  </si>
  <si>
    <t>The math courses I took at UBC allowed me to explore my passions and taught me the foundational problem-solving skills I still use on a daily basis. I learned early on I was much more interested in applied math, yet every course I took still turned out to be valuable. In my day-to-day work in Astrophysics, the math courses that were heavily focused on linear algebra, calculus, and differential equations turned out to be the most useful. If you like MATH 316, MATH 400 is a natural continuation. And in MATH 317 the vector operators (i.e. gradient, divergence, curl, etc.) and theorems (i.e. Gauss, Stokes etc.) are extremely important topics that always arise in physics.&lt;br&gt;&lt;br&gt;There are a large number of electives Math students are able to take. Take the opportunity to select courses that are of interest, and not just ones that your friends are taking or are known to boost your average. This is the time to learn about all disciplines, and if you find something you are truly passionate about, stick with it and consider adding a minor to your degree. No only will you enjoy your electives, but a minor will organize your electives in a logical way and may provide you with future opportunities. One final piece of advice: go to office hours! I cannot stress this enough. Your professors are there to help you, and although it may be intimidating at first you will always feel much better after leaving.</t>
  </si>
  <si>
    <t>ChuxuanZhang.jpg</t>
  </si>
  <si>
    <t>Chuxuan Zhang</t>
  </si>
  <si>
    <t>MSc Student in Computer Science</t>
  </si>
  <si>
    <t>UBC Math 2022</t>
  </si>
  <si>
    <t>MATH 302, 303, 361</t>
  </si>
  <si>
    <t>You can learn classical biological models and get inspired by them even if your research interest seems in a completely different domain.</t>
  </si>
  <si>
    <t>MATH 361 helped me gain a lot of insight. I'm now doing research in the area of affective computing where I refine existing models which predict/classify human emotions. It is intuitive and straightforward to draw analogies between human emotions and biological systems. As humans, we experience complex emotions instead of monotone discrete emotions at any time. For example, if you are into horror movies, you probably have the combined feeling of being scared and thrilled when watching them. But too much fear might kill your joy, and too much joy won’t give you a sense of dread at all. The dynamic equilibrium is similar to the classical Lotka-Volterra predator-prey model which is taught in MATH 361! MATH 361 is a course where you can learn classical biological models and get inspired by them even if your research interest seems in a completely different domain.</t>
  </si>
  <si>
    <t>KarishmaSharma.jpg</t>
  </si>
  <si>
    <t>Karishma Sharma</t>
  </si>
  <si>
    <t>High School Math Teacher</t>
  </si>
  <si>
    <t>MATH 308, 310, 312, 342</t>
  </si>
  <si>
    <t>MATH 308 is where I really began to develop a love of proofs.</t>
  </si>
  <si>
    <t>MATH 308 is where I really began to develop a love of proofs. It was the first time I really understood how to approach proofs and how much fun they could be. This later directly applied to my job as I taught Foundations of Math 11/12 during my Teacher Education Practicum and had to be familiar with geometry proofs in particular. I learned relevant math teaching skills from this course as well. The way it was designed allowed us to problem-solve in less traditional ways. Assignments were formatted in a way that promoted student learning, so now I am able to apply those same strategies when assigning work to students. The prof I had for this course helped inspire me to dig deeper with my learning by asking guiding questions, and also engaging in teaching strategy discussions during office hours, which again has influenced my current teaching practices. I will be forever grateful for this course and the prof I had for inspiring and empowering me in so many different ways.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</si>
</sst>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6">
    <font>
      <sz val="11.0"/>
      <color theme="1"/>
      <name val="Calibri"/>
      <scheme val="minor"/>
    </font>
    <font>
      <b/>
      <sz val="11.0"/>
      <color theme="1"/>
      <name val="Calibri"/>
    </font>
    <font>
      <color theme="1"/>
      <name val="Calibri"/>
      <scheme val="minor"/>
    </font>
    <font>
      <sz val="11.0"/>
      <color rgb="FF000000"/>
      <name val="Calibri"/>
    </font>
    <font>
      <sz val="11.0"/>
      <color theme="1"/>
      <name val="Calibri"/>
    </font>
    <font>
      <sz val="12.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2" fillId="0" fontId="1" numFmtId="0" xfId="0" applyAlignment="1" applyBorder="1" applyFont="1">
      <alignment horizontal="center" vertical="top"/>
    </xf>
    <xf borderId="0" fillId="0" fontId="3" numFmtId="0" xfId="0" applyFont="1"/>
    <xf borderId="0" fillId="0" fontId="4" numFmtId="0" xfId="0" applyFont="1"/>
    <xf borderId="0" fillId="0" fontId="4" numFmtId="0" xfId="0" applyAlignment="1" applyFont="1">
      <alignment shrinkToFit="0" vertical="top" wrapText="1"/>
    </xf>
    <xf borderId="0" fillId="0" fontId="4" numFmtId="0" xfId="0" applyAlignment="1" applyFont="1">
      <alignment readingOrder="0"/>
    </xf>
    <xf borderId="0" fillId="0" fontId="4" numFmtId="164" xfId="0" applyFont="1" applyNumberFormat="1"/>
    <xf borderId="0" fillId="0" fontId="3" numFmtId="0" xfId="0" applyAlignment="1" applyFont="1">
      <alignment readingOrder="0"/>
    </xf>
    <xf borderId="0" fillId="0" fontId="5" numFmtId="0" xfId="0" applyAlignment="1" applyFont="1">
      <alignment readingOrder="0"/>
    </xf>
    <xf borderId="0" fillId="0" fontId="5" numFmtId="0" xfId="0" applyFont="1"/>
    <xf borderId="0" fillId="0" fontId="4" numFmtId="1" xfId="0" applyFont="1" applyNumberFormat="1"/>
    <xf borderId="0" fillId="0" fontId="3" numFmtId="164" xfId="0" applyFont="1" applyNumberFormat="1"/>
    <xf borderId="0" fillId="0" fontId="5" numFmtId="0" xfId="0" applyAlignment="1" applyFont="1">
      <alignment shrinkToFit="0" wrapText="1"/>
    </xf>
    <xf borderId="0" fillId="0" fontId="4"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2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10</v>
      </c>
      <c r="F6" s="2" t="s">
        <v>27</v>
      </c>
    </row>
    <row r="7">
      <c r="A7" s="2" t="s">
        <v>28</v>
      </c>
      <c r="B7" s="2" t="s">
        <v>7</v>
      </c>
      <c r="C7" s="2" t="s">
        <v>29</v>
      </c>
      <c r="D7" s="2" t="s">
        <v>30</v>
      </c>
      <c r="E7" s="2" t="s">
        <v>15</v>
      </c>
    </row>
    <row r="8">
      <c r="A8" s="2" t="s">
        <v>31</v>
      </c>
      <c r="B8" s="2" t="s">
        <v>7</v>
      </c>
      <c r="C8" s="2" t="s">
        <v>32</v>
      </c>
      <c r="D8" s="2" t="s">
        <v>33</v>
      </c>
      <c r="E8" s="2" t="s">
        <v>34</v>
      </c>
      <c r="F8" s="2" t="s">
        <v>35</v>
      </c>
    </row>
    <row r="9">
      <c r="A9" s="2" t="s">
        <v>36</v>
      </c>
      <c r="B9" s="2" t="s">
        <v>7</v>
      </c>
      <c r="C9" s="2" t="s">
        <v>37</v>
      </c>
      <c r="D9" s="2" t="s">
        <v>38</v>
      </c>
      <c r="E9" s="2" t="s">
        <v>15</v>
      </c>
    </row>
    <row r="10">
      <c r="A10" s="2" t="s">
        <v>39</v>
      </c>
      <c r="B10" s="2" t="s">
        <v>7</v>
      </c>
      <c r="C10" s="2" t="s">
        <v>40</v>
      </c>
      <c r="D10" s="2" t="s">
        <v>41</v>
      </c>
      <c r="E10" s="2" t="s">
        <v>15</v>
      </c>
      <c r="F10" s="2" t="s">
        <v>42</v>
      </c>
    </row>
    <row r="11">
      <c r="A11" s="2" t="s">
        <v>43</v>
      </c>
      <c r="B11" s="2" t="s">
        <v>44</v>
      </c>
      <c r="C11" s="2" t="s">
        <v>45</v>
      </c>
      <c r="D11" s="2" t="s">
        <v>46</v>
      </c>
      <c r="E11" s="2" t="s">
        <v>47</v>
      </c>
    </row>
    <row r="12">
      <c r="A12" s="2" t="s">
        <v>48</v>
      </c>
      <c r="B12" s="2" t="s">
        <v>49</v>
      </c>
      <c r="C12" s="2" t="s">
        <v>50</v>
      </c>
      <c r="D12" s="2" t="s">
        <v>51</v>
      </c>
      <c r="E12" s="2" t="s">
        <v>52</v>
      </c>
    </row>
    <row r="13">
      <c r="A13" s="2" t="s">
        <v>53</v>
      </c>
      <c r="B13" s="2" t="s">
        <v>54</v>
      </c>
      <c r="C13" s="2" t="s">
        <v>55</v>
      </c>
      <c r="D13" s="2" t="s">
        <v>56</v>
      </c>
      <c r="E13" s="2" t="s">
        <v>57</v>
      </c>
      <c r="F13" s="2" t="s">
        <v>58</v>
      </c>
    </row>
    <row r="14">
      <c r="A14" s="2" t="s">
        <v>59</v>
      </c>
      <c r="B14" s="2" t="s">
        <v>7</v>
      </c>
      <c r="C14" s="2" t="s">
        <v>60</v>
      </c>
      <c r="D14" s="2" t="s">
        <v>61</v>
      </c>
      <c r="E14" s="2" t="s">
        <v>15</v>
      </c>
      <c r="F14" s="2" t="s">
        <v>62</v>
      </c>
    </row>
    <row r="15">
      <c r="A15" s="2" t="s">
        <v>63</v>
      </c>
      <c r="B15" s="2" t="s">
        <v>7</v>
      </c>
      <c r="C15" s="2" t="s">
        <v>64</v>
      </c>
      <c r="D15" s="2" t="s">
        <v>65</v>
      </c>
      <c r="E15" s="2" t="s">
        <v>15</v>
      </c>
    </row>
    <row r="16">
      <c r="A16" s="2" t="s">
        <v>66</v>
      </c>
      <c r="B16" s="2" t="s">
        <v>7</v>
      </c>
      <c r="C16" s="2" t="s">
        <v>67</v>
      </c>
      <c r="D16" s="2" t="s">
        <v>68</v>
      </c>
      <c r="E16" s="2" t="s">
        <v>15</v>
      </c>
      <c r="F16" s="2" t="s">
        <v>69</v>
      </c>
    </row>
    <row r="17">
      <c r="A17" s="2" t="s">
        <v>70</v>
      </c>
      <c r="B17" s="2" t="s">
        <v>7</v>
      </c>
      <c r="C17" s="2" t="s">
        <v>71</v>
      </c>
      <c r="D17" s="2" t="s">
        <v>72</v>
      </c>
      <c r="E17" s="2" t="s">
        <v>15</v>
      </c>
    </row>
    <row r="18">
      <c r="A18" s="2" t="s">
        <v>73</v>
      </c>
      <c r="B18" s="2" t="s">
        <v>7</v>
      </c>
      <c r="C18" s="2" t="s">
        <v>74</v>
      </c>
      <c r="D18" s="2" t="s">
        <v>75</v>
      </c>
      <c r="E18" s="2" t="s">
        <v>15</v>
      </c>
    </row>
    <row r="19">
      <c r="A19" s="2" t="s">
        <v>76</v>
      </c>
      <c r="B19" s="2" t="s">
        <v>7</v>
      </c>
      <c r="C19" s="2" t="s">
        <v>77</v>
      </c>
      <c r="D19" s="2" t="s">
        <v>78</v>
      </c>
      <c r="E19" s="2" t="s">
        <v>15</v>
      </c>
    </row>
    <row r="20">
      <c r="A20" s="2" t="s">
        <v>79</v>
      </c>
      <c r="B20" s="2" t="s">
        <v>7</v>
      </c>
      <c r="C20" s="2" t="s">
        <v>80</v>
      </c>
      <c r="D20" s="2" t="s">
        <v>81</v>
      </c>
      <c r="E20" s="2" t="s">
        <v>15</v>
      </c>
    </row>
    <row r="21" ht="15.75" customHeight="1">
      <c r="A21" s="2" t="s">
        <v>82</v>
      </c>
      <c r="B21" s="2" t="s">
        <v>83</v>
      </c>
      <c r="C21" s="2" t="s">
        <v>84</v>
      </c>
      <c r="D21" s="2" t="s">
        <v>85</v>
      </c>
    </row>
    <row r="22" ht="15.75" customHeight="1">
      <c r="A22" s="2" t="s">
        <v>86</v>
      </c>
      <c r="B22" s="2" t="s">
        <v>87</v>
      </c>
      <c r="C22" s="2" t="s">
        <v>88</v>
      </c>
      <c r="D22" s="2" t="s">
        <v>89</v>
      </c>
    </row>
    <row r="23" ht="15.75" customHeight="1">
      <c r="A23" s="2" t="s">
        <v>90</v>
      </c>
      <c r="B23" s="2" t="s">
        <v>7</v>
      </c>
      <c r="C23" s="2" t="s">
        <v>91</v>
      </c>
      <c r="D23" s="2" t="s">
        <v>92</v>
      </c>
      <c r="E23" s="2" t="s">
        <v>15</v>
      </c>
    </row>
    <row r="24" ht="15.75" customHeight="1">
      <c r="A24" s="2" t="s">
        <v>93</v>
      </c>
      <c r="B24" s="2" t="s">
        <v>7</v>
      </c>
      <c r="C24" s="2" t="s">
        <v>94</v>
      </c>
      <c r="D24" s="2" t="s">
        <v>95</v>
      </c>
      <c r="E24" s="2" t="s">
        <v>34</v>
      </c>
      <c r="F24" s="2" t="s">
        <v>96</v>
      </c>
    </row>
    <row r="25" ht="15.75" customHeight="1">
      <c r="A25" s="2" t="s">
        <v>97</v>
      </c>
      <c r="B25" s="2" t="s">
        <v>7</v>
      </c>
      <c r="C25" s="2" t="s">
        <v>98</v>
      </c>
      <c r="D25" s="2" t="s">
        <v>99</v>
      </c>
      <c r="E25" s="2" t="s">
        <v>34</v>
      </c>
      <c r="F25" s="2" t="s">
        <v>96</v>
      </c>
    </row>
    <row r="26" ht="15.75" customHeight="1">
      <c r="A26" s="2" t="s">
        <v>100</v>
      </c>
      <c r="B26" s="2">
        <v>3.0</v>
      </c>
      <c r="C26" s="2" t="s">
        <v>101</v>
      </c>
      <c r="D26" s="2" t="s">
        <v>102</v>
      </c>
      <c r="E26" s="2" t="s">
        <v>34</v>
      </c>
      <c r="F26" s="2" t="s">
        <v>103</v>
      </c>
    </row>
    <row r="27" ht="15.75" customHeight="1">
      <c r="A27" s="2" t="s">
        <v>104</v>
      </c>
      <c r="B27" s="2">
        <v>3.0</v>
      </c>
      <c r="C27" s="2" t="s">
        <v>105</v>
      </c>
      <c r="D27" s="2" t="s">
        <v>106</v>
      </c>
      <c r="E27" s="2" t="s">
        <v>34</v>
      </c>
      <c r="F27" s="2" t="s">
        <v>107</v>
      </c>
    </row>
    <row r="28" ht="15.75" customHeight="1">
      <c r="A28" s="2" t="s">
        <v>108</v>
      </c>
      <c r="B28" s="2">
        <v>3.0</v>
      </c>
      <c r="C28" s="2" t="s">
        <v>109</v>
      </c>
      <c r="D28" s="2" t="s">
        <v>110</v>
      </c>
      <c r="E28" s="2" t="s">
        <v>34</v>
      </c>
      <c r="F28" s="2" t="s">
        <v>111</v>
      </c>
    </row>
    <row r="29" ht="15.75" customHeight="1">
      <c r="A29" s="2" t="s">
        <v>112</v>
      </c>
      <c r="B29" s="2">
        <v>3.0</v>
      </c>
      <c r="C29" s="2" t="s">
        <v>113</v>
      </c>
      <c r="D29" s="2" t="s">
        <v>114</v>
      </c>
      <c r="E29" s="2" t="s">
        <v>34</v>
      </c>
      <c r="F29" s="2" t="s">
        <v>115</v>
      </c>
    </row>
    <row r="30" ht="15.75" customHeight="1">
      <c r="A30" s="2" t="s">
        <v>116</v>
      </c>
      <c r="B30" s="2">
        <v>3.0</v>
      </c>
      <c r="C30" s="2" t="s">
        <v>117</v>
      </c>
      <c r="D30" s="2" t="s">
        <v>118</v>
      </c>
      <c r="E30" s="2" t="s">
        <v>34</v>
      </c>
    </row>
    <row r="31" ht="15.75" customHeight="1">
      <c r="A31" s="2" t="s">
        <v>119</v>
      </c>
      <c r="B31" s="2">
        <v>3.0</v>
      </c>
      <c r="C31" s="2" t="s">
        <v>120</v>
      </c>
      <c r="D31" s="2" t="s">
        <v>121</v>
      </c>
      <c r="E31" s="2" t="s">
        <v>15</v>
      </c>
    </row>
    <row r="32" ht="15.75" customHeight="1">
      <c r="A32" s="2" t="s">
        <v>122</v>
      </c>
      <c r="B32" s="2">
        <v>3.0</v>
      </c>
      <c r="C32" s="2" t="s">
        <v>123</v>
      </c>
      <c r="D32" s="2" t="s">
        <v>124</v>
      </c>
      <c r="E32" s="2" t="s">
        <v>34</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3" t="s">
        <v>0</v>
      </c>
      <c r="C1" s="3" t="s">
        <v>126</v>
      </c>
      <c r="D1" s="3" t="s">
        <v>3</v>
      </c>
      <c r="E1" s="4"/>
    </row>
    <row r="2">
      <c r="A2" s="4">
        <v>1.0</v>
      </c>
      <c r="B2" s="4" t="s">
        <v>6</v>
      </c>
      <c r="C2" s="4" t="s">
        <v>127</v>
      </c>
      <c r="D2" s="4" t="s">
        <v>128</v>
      </c>
      <c r="E2" s="4"/>
    </row>
    <row r="3">
      <c r="A3" s="4">
        <v>2.0</v>
      </c>
      <c r="B3" s="4" t="s">
        <v>12</v>
      </c>
      <c r="C3" s="4" t="s">
        <v>127</v>
      </c>
      <c r="D3" s="4" t="s">
        <v>129</v>
      </c>
      <c r="E3" s="4"/>
    </row>
    <row r="4">
      <c r="A4" s="4">
        <v>3.0</v>
      </c>
      <c r="B4" s="4" t="s">
        <v>16</v>
      </c>
      <c r="C4" s="4" t="s">
        <v>127</v>
      </c>
      <c r="D4" s="4" t="s">
        <v>130</v>
      </c>
      <c r="E4" s="4"/>
    </row>
    <row r="5">
      <c r="A5" s="4">
        <v>4.0</v>
      </c>
      <c r="B5" s="4" t="s">
        <v>20</v>
      </c>
      <c r="C5" s="4" t="s">
        <v>127</v>
      </c>
      <c r="D5" s="4" t="s">
        <v>131</v>
      </c>
      <c r="E5" s="4"/>
    </row>
    <row r="6">
      <c r="A6" s="4">
        <v>5.0</v>
      </c>
      <c r="B6" s="4" t="s">
        <v>24</v>
      </c>
      <c r="C6" s="4" t="s">
        <v>127</v>
      </c>
      <c r="D6" s="4" t="s">
        <v>132</v>
      </c>
      <c r="E6" s="4"/>
    </row>
    <row r="7">
      <c r="A7" s="4">
        <v>6.0</v>
      </c>
      <c r="B7" s="4" t="s">
        <v>28</v>
      </c>
      <c r="C7" s="4" t="s">
        <v>127</v>
      </c>
      <c r="D7" s="4" t="s">
        <v>133</v>
      </c>
      <c r="E7" s="4"/>
    </row>
    <row r="8">
      <c r="A8" s="4">
        <v>7.0</v>
      </c>
      <c r="B8" s="4" t="s">
        <v>28</v>
      </c>
      <c r="C8" s="4" t="s">
        <v>127</v>
      </c>
      <c r="D8" s="4" t="s">
        <v>134</v>
      </c>
      <c r="E8" s="4"/>
    </row>
    <row r="9">
      <c r="A9" s="4">
        <v>8.0</v>
      </c>
      <c r="B9" s="4" t="s">
        <v>31</v>
      </c>
      <c r="C9" s="4" t="s">
        <v>127</v>
      </c>
      <c r="D9" s="4" t="s">
        <v>135</v>
      </c>
      <c r="E9" s="4"/>
    </row>
    <row r="10">
      <c r="A10" s="4">
        <v>9.0</v>
      </c>
      <c r="B10" s="4" t="s">
        <v>36</v>
      </c>
      <c r="C10" s="4" t="s">
        <v>127</v>
      </c>
      <c r="D10" s="4" t="s">
        <v>136</v>
      </c>
      <c r="E10" s="4"/>
    </row>
    <row r="11">
      <c r="A11" s="4">
        <v>10.0</v>
      </c>
      <c r="B11" s="4" t="s">
        <v>39</v>
      </c>
      <c r="C11" s="4" t="s">
        <v>127</v>
      </c>
      <c r="D11" s="4" t="s">
        <v>137</v>
      </c>
      <c r="E11" s="4"/>
    </row>
    <row r="12">
      <c r="A12" s="4">
        <v>11.0</v>
      </c>
      <c r="B12" s="4" t="s">
        <v>39</v>
      </c>
      <c r="C12" s="4" t="s">
        <v>127</v>
      </c>
      <c r="D12" s="4" t="s">
        <v>138</v>
      </c>
      <c r="E12" s="4"/>
    </row>
    <row r="13">
      <c r="A13" s="4">
        <v>12.0</v>
      </c>
      <c r="B13" s="4" t="s">
        <v>39</v>
      </c>
      <c r="C13" s="4" t="s">
        <v>127</v>
      </c>
      <c r="D13" s="4" t="s">
        <v>139</v>
      </c>
      <c r="E13" s="4"/>
    </row>
    <row r="14">
      <c r="A14" s="4">
        <v>13.0</v>
      </c>
      <c r="B14" s="4" t="s">
        <v>43</v>
      </c>
      <c r="C14" s="4" t="s">
        <v>140</v>
      </c>
      <c r="D14" s="4" t="s">
        <v>141</v>
      </c>
      <c r="E14" s="4"/>
    </row>
    <row r="15">
      <c r="A15" s="4">
        <v>14.0</v>
      </c>
      <c r="B15" s="4" t="s">
        <v>53</v>
      </c>
      <c r="C15" s="4" t="s">
        <v>127</v>
      </c>
      <c r="D15" s="4" t="s">
        <v>142</v>
      </c>
      <c r="E15" s="4"/>
    </row>
    <row r="16">
      <c r="A16" s="4">
        <v>15.0</v>
      </c>
      <c r="B16" s="4" t="s">
        <v>59</v>
      </c>
      <c r="C16" s="4" t="s">
        <v>127</v>
      </c>
      <c r="D16" s="4" t="s">
        <v>143</v>
      </c>
      <c r="E16" s="4"/>
    </row>
    <row r="17">
      <c r="A17" s="4">
        <v>16.0</v>
      </c>
      <c r="B17" s="4" t="s">
        <v>63</v>
      </c>
      <c r="C17" s="4" t="s">
        <v>127</v>
      </c>
      <c r="D17" s="4" t="s">
        <v>144</v>
      </c>
      <c r="E17" s="4"/>
    </row>
    <row r="18">
      <c r="A18" s="4">
        <v>17.0</v>
      </c>
      <c r="B18" s="4" t="s">
        <v>63</v>
      </c>
      <c r="C18" s="4" t="s">
        <v>140</v>
      </c>
      <c r="D18" s="4" t="s">
        <v>139</v>
      </c>
      <c r="E18" s="4"/>
    </row>
    <row r="19">
      <c r="A19" s="4">
        <v>18.0</v>
      </c>
      <c r="B19" s="4" t="s">
        <v>66</v>
      </c>
      <c r="C19" s="4" t="s">
        <v>127</v>
      </c>
      <c r="D19" s="4" t="s">
        <v>145</v>
      </c>
      <c r="E19" s="4"/>
    </row>
    <row r="20">
      <c r="A20" s="4">
        <v>19.0</v>
      </c>
      <c r="B20" s="4" t="s">
        <v>66</v>
      </c>
      <c r="C20" s="4" t="s">
        <v>127</v>
      </c>
      <c r="D20" s="4" t="s">
        <v>146</v>
      </c>
      <c r="E20" s="4"/>
    </row>
    <row r="21" ht="15.75" customHeight="1">
      <c r="A21" s="4">
        <v>20.0</v>
      </c>
      <c r="B21" s="4" t="s">
        <v>66</v>
      </c>
      <c r="C21" s="4" t="s">
        <v>140</v>
      </c>
      <c r="D21" s="4" t="s">
        <v>147</v>
      </c>
      <c r="E21" s="4"/>
    </row>
    <row r="22" ht="15.75" customHeight="1">
      <c r="A22" s="4">
        <v>21.0</v>
      </c>
      <c r="B22" s="4" t="s">
        <v>70</v>
      </c>
      <c r="C22" s="4" t="s">
        <v>127</v>
      </c>
      <c r="D22" s="4" t="s">
        <v>148</v>
      </c>
      <c r="E22" s="4"/>
    </row>
    <row r="23" ht="15.75" customHeight="1">
      <c r="A23" s="4">
        <v>22.0</v>
      </c>
      <c r="B23" s="4" t="s">
        <v>70</v>
      </c>
      <c r="C23" s="4" t="s">
        <v>127</v>
      </c>
      <c r="D23" s="4" t="s">
        <v>149</v>
      </c>
      <c r="E23" s="4"/>
    </row>
    <row r="24" ht="15.75" customHeight="1">
      <c r="A24" s="4">
        <v>23.0</v>
      </c>
      <c r="B24" s="4" t="s">
        <v>73</v>
      </c>
      <c r="C24" s="4" t="s">
        <v>127</v>
      </c>
      <c r="D24" s="4" t="s">
        <v>150</v>
      </c>
      <c r="E24" s="4"/>
    </row>
    <row r="25" ht="15.75" customHeight="1">
      <c r="A25" s="4">
        <v>24.0</v>
      </c>
      <c r="B25" s="4" t="s">
        <v>76</v>
      </c>
      <c r="C25" s="4" t="s">
        <v>127</v>
      </c>
      <c r="D25" s="4" t="s">
        <v>151</v>
      </c>
      <c r="E25" s="4"/>
    </row>
    <row r="26" ht="15.75" customHeight="1">
      <c r="A26" s="4">
        <v>25.0</v>
      </c>
      <c r="B26" s="4" t="s">
        <v>76</v>
      </c>
      <c r="C26" s="4" t="s">
        <v>127</v>
      </c>
      <c r="D26" s="4" t="s">
        <v>152</v>
      </c>
      <c r="E26" s="4"/>
    </row>
    <row r="27" ht="15.75" customHeight="1">
      <c r="A27" s="4">
        <v>26.0</v>
      </c>
      <c r="B27" s="4" t="s">
        <v>76</v>
      </c>
      <c r="C27" s="4" t="s">
        <v>140</v>
      </c>
      <c r="D27" s="4" t="s">
        <v>145</v>
      </c>
      <c r="E27" s="4"/>
    </row>
    <row r="28" ht="15.75" customHeight="1">
      <c r="A28" s="4">
        <v>27.0</v>
      </c>
      <c r="B28" s="4" t="s">
        <v>79</v>
      </c>
      <c r="C28" s="4" t="s">
        <v>127</v>
      </c>
      <c r="D28" s="4" t="s">
        <v>141</v>
      </c>
      <c r="E28" s="4"/>
    </row>
    <row r="29" ht="15.75" customHeight="1">
      <c r="A29" s="4">
        <v>28.0</v>
      </c>
      <c r="B29" s="4" t="s">
        <v>82</v>
      </c>
      <c r="C29" s="4" t="s">
        <v>127</v>
      </c>
      <c r="D29" s="4" t="s">
        <v>145</v>
      </c>
      <c r="E29" s="4"/>
    </row>
    <row r="30" ht="15.75" customHeight="1">
      <c r="A30" s="4">
        <v>29.0</v>
      </c>
      <c r="B30" s="4" t="s">
        <v>86</v>
      </c>
      <c r="C30" s="4" t="s">
        <v>127</v>
      </c>
      <c r="D30" s="4" t="s">
        <v>153</v>
      </c>
      <c r="E30" s="4"/>
    </row>
    <row r="31" ht="15.75" customHeight="1">
      <c r="A31" s="4">
        <v>30.0</v>
      </c>
      <c r="B31" s="4" t="s">
        <v>90</v>
      </c>
      <c r="C31" s="4" t="s">
        <v>127</v>
      </c>
      <c r="D31" s="4" t="s">
        <v>141</v>
      </c>
      <c r="E31" s="4"/>
    </row>
    <row r="32" ht="15.75" customHeight="1">
      <c r="A32" s="4">
        <v>31.0</v>
      </c>
      <c r="B32" s="4" t="s">
        <v>93</v>
      </c>
      <c r="C32" s="4" t="s">
        <v>127</v>
      </c>
      <c r="D32" s="4" t="s">
        <v>154</v>
      </c>
      <c r="E32" s="4"/>
    </row>
    <row r="33" ht="15.75" customHeight="1">
      <c r="A33" s="4">
        <v>32.0</v>
      </c>
      <c r="B33" s="4" t="s">
        <v>93</v>
      </c>
      <c r="C33" s="4" t="s">
        <v>127</v>
      </c>
      <c r="D33" s="4" t="s">
        <v>145</v>
      </c>
      <c r="E33" s="4"/>
    </row>
    <row r="34" ht="15.75" customHeight="1">
      <c r="A34" s="4">
        <v>33.0</v>
      </c>
      <c r="B34" s="4" t="s">
        <v>93</v>
      </c>
      <c r="C34" s="4" t="s">
        <v>127</v>
      </c>
      <c r="D34" s="4" t="s">
        <v>137</v>
      </c>
      <c r="E34" s="4"/>
    </row>
    <row r="35" ht="15.75" customHeight="1">
      <c r="A35" s="4">
        <v>34.0</v>
      </c>
      <c r="B35" s="4" t="s">
        <v>97</v>
      </c>
      <c r="C35" s="4" t="s">
        <v>127</v>
      </c>
      <c r="D35" s="4" t="s">
        <v>155</v>
      </c>
      <c r="E35" s="4"/>
    </row>
    <row r="36" ht="15.75" customHeight="1">
      <c r="A36" s="4">
        <v>35.0</v>
      </c>
      <c r="B36" s="4" t="s">
        <v>100</v>
      </c>
      <c r="C36" s="4" t="s">
        <v>127</v>
      </c>
      <c r="D36" s="4" t="s">
        <v>156</v>
      </c>
      <c r="E36" s="4"/>
    </row>
    <row r="37" ht="15.75" customHeight="1">
      <c r="A37" s="4">
        <v>36.0</v>
      </c>
      <c r="B37" s="4" t="s">
        <v>104</v>
      </c>
      <c r="C37" s="4" t="s">
        <v>127</v>
      </c>
      <c r="D37" s="4" t="s">
        <v>157</v>
      </c>
      <c r="E37" s="4"/>
    </row>
    <row r="38" ht="15.75" customHeight="1">
      <c r="A38" s="4">
        <v>37.0</v>
      </c>
      <c r="B38" s="4" t="s">
        <v>108</v>
      </c>
      <c r="C38" s="4" t="s">
        <v>127</v>
      </c>
      <c r="D38" s="4" t="s">
        <v>158</v>
      </c>
      <c r="E38" s="4"/>
    </row>
    <row r="39" ht="15.75" customHeight="1">
      <c r="A39" s="4">
        <v>38.0</v>
      </c>
      <c r="B39" s="4" t="s">
        <v>112</v>
      </c>
      <c r="C39" s="4" t="s">
        <v>127</v>
      </c>
      <c r="D39" s="4" t="s">
        <v>159</v>
      </c>
      <c r="E39" s="4"/>
    </row>
    <row r="40" ht="15.75" customHeight="1">
      <c r="A40" s="4">
        <v>39.0</v>
      </c>
      <c r="B40" s="4" t="s">
        <v>116</v>
      </c>
      <c r="C40" s="4" t="s">
        <v>127</v>
      </c>
      <c r="D40" s="4" t="s">
        <v>160</v>
      </c>
      <c r="E40" s="4"/>
    </row>
    <row r="41" ht="15.75" customHeight="1">
      <c r="A41" s="4">
        <v>40.0</v>
      </c>
      <c r="B41" s="4" t="s">
        <v>119</v>
      </c>
      <c r="C41" s="4" t="s">
        <v>127</v>
      </c>
      <c r="D41" s="4" t="s">
        <v>161</v>
      </c>
      <c r="E41" s="4"/>
    </row>
    <row r="42" ht="15.75" customHeight="1">
      <c r="A42" s="4">
        <v>41.0</v>
      </c>
      <c r="B42" s="4" t="s">
        <v>122</v>
      </c>
      <c r="C42" s="4" t="s">
        <v>127</v>
      </c>
      <c r="D42" s="4" t="s">
        <v>129</v>
      </c>
      <c r="E42" s="4"/>
    </row>
    <row r="43" ht="15.75" customHeight="1">
      <c r="A43" s="4"/>
      <c r="B43" s="4"/>
      <c r="C43" s="4"/>
      <c r="D43" s="4"/>
      <c r="E43" s="4"/>
    </row>
    <row r="44" ht="15.75" customHeight="1">
      <c r="A44" s="4"/>
      <c r="B44" s="4"/>
      <c r="C44" s="4"/>
      <c r="D44" s="4"/>
      <c r="E44" s="4"/>
    </row>
    <row r="45" ht="15.75" customHeight="1">
      <c r="A45" s="4"/>
      <c r="B45" s="4"/>
      <c r="C45" s="4"/>
      <c r="D45" s="4"/>
      <c r="E45" s="4"/>
    </row>
    <row r="46" ht="15.75" customHeight="1">
      <c r="A46" s="4"/>
      <c r="B46" s="4"/>
      <c r="C46" s="4"/>
      <c r="D46" s="4"/>
      <c r="E46" s="4"/>
    </row>
    <row r="47" ht="15.75" customHeight="1">
      <c r="A47" s="4"/>
      <c r="B47" s="4"/>
      <c r="C47" s="4"/>
      <c r="D47" s="4"/>
      <c r="E47" s="4" t="s">
        <v>162</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26" width="8.86"/>
  </cols>
  <sheetData>
    <row r="1">
      <c r="A1" s="1" t="s">
        <v>125</v>
      </c>
      <c r="B1" s="1" t="s">
        <v>0</v>
      </c>
      <c r="C1" s="1" t="s">
        <v>163</v>
      </c>
      <c r="D1" s="1" t="s">
        <v>164</v>
      </c>
    </row>
    <row r="2">
      <c r="A2" s="2">
        <v>1.0</v>
      </c>
      <c r="B2" s="2" t="s">
        <v>6</v>
      </c>
      <c r="C2" s="2" t="s">
        <v>100</v>
      </c>
      <c r="D2" s="2">
        <v>1.0</v>
      </c>
    </row>
    <row r="3">
      <c r="A3" s="2">
        <v>2.0</v>
      </c>
      <c r="B3" s="2" t="s">
        <v>12</v>
      </c>
      <c r="C3" s="2" t="s">
        <v>119</v>
      </c>
      <c r="D3" s="2">
        <v>1.0</v>
      </c>
    </row>
    <row r="4">
      <c r="A4" s="2">
        <v>4.0</v>
      </c>
      <c r="B4" s="2" t="s">
        <v>20</v>
      </c>
      <c r="C4" s="2" t="s">
        <v>104</v>
      </c>
      <c r="D4" s="2">
        <v>1.0</v>
      </c>
    </row>
    <row r="5">
      <c r="A5" s="2">
        <v>5.0</v>
      </c>
      <c r="B5" s="2" t="s">
        <v>24</v>
      </c>
      <c r="C5" s="2" t="s">
        <v>6</v>
      </c>
      <c r="D5" s="2">
        <v>1.0</v>
      </c>
    </row>
    <row r="6">
      <c r="A6" s="2">
        <v>5.0</v>
      </c>
      <c r="B6" s="2" t="s">
        <v>24</v>
      </c>
      <c r="C6" s="2" t="s">
        <v>16</v>
      </c>
      <c r="D6" s="2">
        <v>0.0</v>
      </c>
    </row>
    <row r="7">
      <c r="A7" s="2">
        <v>5.0</v>
      </c>
      <c r="B7" s="2" t="s">
        <v>24</v>
      </c>
      <c r="C7" s="2" t="s">
        <v>20</v>
      </c>
      <c r="D7" s="2">
        <v>0.0</v>
      </c>
    </row>
    <row r="8">
      <c r="A8" s="2">
        <v>6.0</v>
      </c>
      <c r="B8" s="2" t="s">
        <v>28</v>
      </c>
      <c r="C8" s="2" t="s">
        <v>12</v>
      </c>
      <c r="D8" s="2">
        <v>1.0</v>
      </c>
    </row>
    <row r="9">
      <c r="A9" s="2">
        <v>7.0</v>
      </c>
      <c r="B9" s="2" t="s">
        <v>28</v>
      </c>
      <c r="C9" s="2" t="s">
        <v>100</v>
      </c>
      <c r="D9" s="2">
        <v>1.0</v>
      </c>
    </row>
    <row r="10">
      <c r="A10" s="2">
        <v>8.0</v>
      </c>
      <c r="B10" s="2" t="s">
        <v>31</v>
      </c>
      <c r="C10" s="2" t="s">
        <v>108</v>
      </c>
      <c r="D10" s="2">
        <v>1.0</v>
      </c>
    </row>
    <row r="11">
      <c r="A11" s="2">
        <v>9.0</v>
      </c>
      <c r="B11" s="2" t="s">
        <v>36</v>
      </c>
      <c r="C11" s="2" t="s">
        <v>6</v>
      </c>
      <c r="D11" s="2">
        <v>1.0</v>
      </c>
    </row>
    <row r="12">
      <c r="A12" s="2">
        <v>9.0</v>
      </c>
      <c r="B12" s="2" t="s">
        <v>36</v>
      </c>
      <c r="C12" s="2" t="s">
        <v>16</v>
      </c>
      <c r="D12" s="2">
        <v>0.0</v>
      </c>
    </row>
    <row r="13">
      <c r="A13" s="2">
        <v>9.0</v>
      </c>
      <c r="B13" s="2" t="s">
        <v>36</v>
      </c>
      <c r="C13" s="2" t="s">
        <v>20</v>
      </c>
      <c r="D13" s="2">
        <v>0.0</v>
      </c>
    </row>
    <row r="14">
      <c r="A14" s="2">
        <v>9.0</v>
      </c>
      <c r="B14" s="2" t="s">
        <v>36</v>
      </c>
      <c r="C14" s="2" t="s">
        <v>31</v>
      </c>
      <c r="D14" s="2">
        <v>1.0</v>
      </c>
    </row>
    <row r="15">
      <c r="A15" s="2">
        <v>9.0</v>
      </c>
      <c r="B15" s="2" t="s">
        <v>36</v>
      </c>
      <c r="C15" s="2" t="s">
        <v>12</v>
      </c>
      <c r="D15" s="2">
        <v>1.0</v>
      </c>
    </row>
    <row r="16">
      <c r="A16" s="2">
        <v>9.0</v>
      </c>
      <c r="B16" s="2" t="s">
        <v>36</v>
      </c>
      <c r="C16" s="2" t="s">
        <v>122</v>
      </c>
      <c r="D16" s="2">
        <v>1.0</v>
      </c>
    </row>
    <row r="17">
      <c r="A17" s="2">
        <v>10.0</v>
      </c>
      <c r="B17" s="2" t="s">
        <v>39</v>
      </c>
      <c r="C17" s="2" t="s">
        <v>112</v>
      </c>
      <c r="D17" s="2">
        <v>1.0</v>
      </c>
    </row>
    <row r="18">
      <c r="A18" s="2">
        <v>11.0</v>
      </c>
      <c r="B18" s="2" t="s">
        <v>39</v>
      </c>
      <c r="C18" s="2" t="s">
        <v>6</v>
      </c>
      <c r="D18" s="2">
        <v>1.0</v>
      </c>
    </row>
    <row r="19">
      <c r="A19" s="2">
        <v>11.0</v>
      </c>
      <c r="B19" s="2" t="s">
        <v>39</v>
      </c>
      <c r="C19" s="2" t="s">
        <v>20</v>
      </c>
      <c r="D19" s="2">
        <v>0.0</v>
      </c>
    </row>
    <row r="20">
      <c r="A20" s="2">
        <v>11.0</v>
      </c>
      <c r="B20" s="2" t="s">
        <v>39</v>
      </c>
      <c r="C20" s="2" t="s">
        <v>24</v>
      </c>
      <c r="D20" s="2">
        <v>0.0</v>
      </c>
    </row>
    <row r="21" ht="15.75" customHeight="1">
      <c r="A21" s="2">
        <v>12.0</v>
      </c>
      <c r="B21" s="2" t="s">
        <v>39</v>
      </c>
      <c r="C21" s="2" t="s">
        <v>31</v>
      </c>
      <c r="D21" s="2">
        <v>1.0</v>
      </c>
    </row>
    <row r="22" ht="15.75" customHeight="1">
      <c r="A22" s="2">
        <v>13.0</v>
      </c>
      <c r="B22" s="2" t="s">
        <v>43</v>
      </c>
      <c r="C22" s="2" t="s">
        <v>39</v>
      </c>
      <c r="D22" s="2">
        <v>1.0</v>
      </c>
    </row>
    <row r="23" ht="15.75" customHeight="1">
      <c r="A23" s="2">
        <v>14.0</v>
      </c>
      <c r="B23" s="2" t="s">
        <v>53</v>
      </c>
      <c r="C23" s="2" t="s">
        <v>36</v>
      </c>
      <c r="D23" s="2">
        <v>1.0</v>
      </c>
    </row>
    <row r="24" ht="15.75" customHeight="1">
      <c r="A24" s="2">
        <v>15.0</v>
      </c>
      <c r="B24" s="2" t="s">
        <v>59</v>
      </c>
      <c r="C24" s="2" t="s">
        <v>6</v>
      </c>
      <c r="D24" s="2">
        <v>1.0</v>
      </c>
    </row>
    <row r="25" ht="15.75" customHeight="1">
      <c r="A25" s="2">
        <v>15.0</v>
      </c>
      <c r="B25" s="2" t="s">
        <v>59</v>
      </c>
      <c r="C25" s="2" t="s">
        <v>20</v>
      </c>
      <c r="D25" s="2">
        <v>0.0</v>
      </c>
    </row>
    <row r="26" ht="15.75" customHeight="1">
      <c r="A26" s="2">
        <v>16.0</v>
      </c>
      <c r="B26" s="2" t="s">
        <v>63</v>
      </c>
      <c r="C26" s="2" t="s">
        <v>6</v>
      </c>
      <c r="D26" s="2">
        <v>1.0</v>
      </c>
    </row>
    <row r="27" ht="15.75" customHeight="1">
      <c r="A27" s="2">
        <v>16.0</v>
      </c>
      <c r="B27" s="2" t="s">
        <v>63</v>
      </c>
      <c r="C27" s="2" t="s">
        <v>20</v>
      </c>
      <c r="D27" s="2">
        <v>0.0</v>
      </c>
    </row>
    <row r="28" ht="15.75" customHeight="1">
      <c r="A28" s="2">
        <v>17.0</v>
      </c>
      <c r="B28" s="2" t="s">
        <v>63</v>
      </c>
      <c r="C28" s="2" t="s">
        <v>31</v>
      </c>
      <c r="D28" s="2">
        <v>1.0</v>
      </c>
    </row>
    <row r="29" ht="15.75" customHeight="1">
      <c r="A29" s="2">
        <v>18.0</v>
      </c>
      <c r="B29" s="2" t="s">
        <v>66</v>
      </c>
      <c r="C29" s="2" t="s">
        <v>36</v>
      </c>
      <c r="D29" s="2">
        <v>1.0</v>
      </c>
    </row>
    <row r="30" ht="15.75" customHeight="1">
      <c r="A30" s="2">
        <v>19.0</v>
      </c>
      <c r="B30" s="2" t="s">
        <v>66</v>
      </c>
      <c r="C30" s="2" t="s">
        <v>112</v>
      </c>
      <c r="D30" s="2">
        <v>1.0</v>
      </c>
    </row>
    <row r="31" ht="15.75" customHeight="1">
      <c r="A31" s="2">
        <v>20.0</v>
      </c>
      <c r="B31" s="2" t="s">
        <v>66</v>
      </c>
      <c r="C31" s="2" t="s">
        <v>39</v>
      </c>
      <c r="D31" s="2">
        <v>1.0</v>
      </c>
    </row>
    <row r="32" ht="15.75" customHeight="1">
      <c r="A32" s="2">
        <v>21.0</v>
      </c>
      <c r="B32" s="2" t="s">
        <v>70</v>
      </c>
      <c r="C32" s="2" t="s">
        <v>31</v>
      </c>
      <c r="D32" s="2">
        <v>1.0</v>
      </c>
    </row>
    <row r="33" ht="15.75" customHeight="1">
      <c r="A33" s="2">
        <v>22.0</v>
      </c>
      <c r="B33" s="2" t="s">
        <v>70</v>
      </c>
      <c r="C33" s="2" t="s">
        <v>36</v>
      </c>
      <c r="D33" s="2">
        <v>1.0</v>
      </c>
    </row>
    <row r="34" ht="15.75" customHeight="1">
      <c r="A34" s="2">
        <v>22.0</v>
      </c>
      <c r="B34" s="2" t="s">
        <v>70</v>
      </c>
      <c r="C34" s="2" t="s">
        <v>93</v>
      </c>
      <c r="D34" s="2">
        <v>0.0</v>
      </c>
    </row>
    <row r="35" ht="15.75" customHeight="1">
      <c r="A35" s="2">
        <v>23.0</v>
      </c>
      <c r="B35" s="2" t="s">
        <v>73</v>
      </c>
      <c r="C35" s="2" t="s">
        <v>39</v>
      </c>
      <c r="D35" s="2">
        <v>1.0</v>
      </c>
    </row>
    <row r="36" ht="15.75" customHeight="1">
      <c r="A36" s="2">
        <v>23.0</v>
      </c>
      <c r="B36" s="2" t="s">
        <v>73</v>
      </c>
      <c r="C36" s="2" t="s">
        <v>28</v>
      </c>
      <c r="D36" s="2">
        <v>0.0</v>
      </c>
    </row>
    <row r="37" ht="15.75" customHeight="1">
      <c r="A37" s="2">
        <v>23.0</v>
      </c>
      <c r="B37" s="2" t="s">
        <v>73</v>
      </c>
      <c r="C37" s="2" t="s">
        <v>112</v>
      </c>
      <c r="D37" s="2">
        <v>1.0</v>
      </c>
    </row>
    <row r="38" ht="15.75" customHeight="1">
      <c r="A38" s="2">
        <v>23.0</v>
      </c>
      <c r="B38" s="2" t="s">
        <v>73</v>
      </c>
      <c r="C38" s="2" t="s">
        <v>31</v>
      </c>
      <c r="D38" s="2">
        <v>1.0</v>
      </c>
    </row>
    <row r="39" ht="15.75" customHeight="1">
      <c r="A39" s="2">
        <v>24.0</v>
      </c>
      <c r="B39" s="2" t="s">
        <v>76</v>
      </c>
      <c r="C39" s="2" t="s">
        <v>31</v>
      </c>
      <c r="D39" s="2">
        <v>1.0</v>
      </c>
    </row>
    <row r="40" ht="15.75" customHeight="1">
      <c r="A40" s="2">
        <v>25.0</v>
      </c>
      <c r="B40" s="2" t="s">
        <v>76</v>
      </c>
      <c r="C40" s="2" t="s">
        <v>6</v>
      </c>
      <c r="D40" s="2">
        <v>1.0</v>
      </c>
    </row>
    <row r="41" ht="15.75" customHeight="1">
      <c r="A41" s="2">
        <v>25.0</v>
      </c>
      <c r="B41" s="2" t="s">
        <v>76</v>
      </c>
      <c r="C41" s="2" t="s">
        <v>20</v>
      </c>
      <c r="D41" s="2">
        <v>0.0</v>
      </c>
    </row>
    <row r="42" ht="15.75" customHeight="1">
      <c r="A42" s="2">
        <v>25.0</v>
      </c>
      <c r="B42" s="2" t="s">
        <v>76</v>
      </c>
      <c r="C42" s="2" t="s">
        <v>24</v>
      </c>
      <c r="D42" s="2">
        <v>0.0</v>
      </c>
    </row>
    <row r="43" ht="15.75" customHeight="1">
      <c r="A43" s="2">
        <v>26.0</v>
      </c>
      <c r="B43" s="2" t="s">
        <v>76</v>
      </c>
      <c r="C43" s="2" t="s">
        <v>36</v>
      </c>
      <c r="D43" s="2">
        <v>1.0</v>
      </c>
    </row>
    <row r="44" ht="15.75" customHeight="1">
      <c r="A44" s="2">
        <v>27.0</v>
      </c>
      <c r="B44" s="2" t="s">
        <v>79</v>
      </c>
      <c r="C44" s="2" t="s">
        <v>39</v>
      </c>
      <c r="D44" s="2">
        <v>1.0</v>
      </c>
    </row>
    <row r="45" ht="15.75" customHeight="1">
      <c r="A45" s="2">
        <v>28.0</v>
      </c>
      <c r="B45" s="2" t="s">
        <v>82</v>
      </c>
      <c r="C45" s="2" t="s">
        <v>36</v>
      </c>
      <c r="D45" s="2">
        <v>1.0</v>
      </c>
    </row>
    <row r="46" ht="15.75" customHeight="1">
      <c r="A46" s="2">
        <v>30.0</v>
      </c>
      <c r="B46" s="2" t="s">
        <v>90</v>
      </c>
      <c r="C46" s="2" t="s">
        <v>39</v>
      </c>
      <c r="D46" s="2">
        <v>1.0</v>
      </c>
    </row>
    <row r="47" ht="15.75" customHeight="1">
      <c r="A47" s="2">
        <v>31.0</v>
      </c>
      <c r="B47" s="2" t="s">
        <v>93</v>
      </c>
      <c r="C47" s="2" t="s">
        <v>116</v>
      </c>
      <c r="D47" s="2">
        <v>1.0</v>
      </c>
    </row>
    <row r="48" ht="15.75" customHeight="1">
      <c r="A48" s="2">
        <v>32.0</v>
      </c>
      <c r="B48" s="2" t="s">
        <v>93</v>
      </c>
      <c r="C48" s="2" t="s">
        <v>36</v>
      </c>
      <c r="D48" s="2">
        <v>1.0</v>
      </c>
    </row>
    <row r="49" ht="15.75" customHeight="1">
      <c r="A49" s="2">
        <v>33.0</v>
      </c>
      <c r="B49" s="2" t="s">
        <v>93</v>
      </c>
      <c r="C49" s="2" t="s">
        <v>112</v>
      </c>
      <c r="D49" s="2">
        <v>1.0</v>
      </c>
    </row>
    <row r="50" ht="15.75" customHeight="1">
      <c r="A50" s="2">
        <v>34.0</v>
      </c>
      <c r="B50" s="2" t="s">
        <v>97</v>
      </c>
      <c r="C50" s="2" t="s">
        <v>93</v>
      </c>
      <c r="D50" s="2">
        <v>1.0</v>
      </c>
    </row>
    <row r="51" ht="15.75" customHeight="1">
      <c r="A51" s="2">
        <v>36.0</v>
      </c>
      <c r="B51" s="2" t="s">
        <v>104</v>
      </c>
      <c r="C51" s="2" t="s">
        <v>100</v>
      </c>
      <c r="D51" s="2">
        <v>1.0</v>
      </c>
    </row>
    <row r="52" ht="15.75" customHeight="1">
      <c r="A52" s="2">
        <v>37.0</v>
      </c>
      <c r="B52" s="2" t="s">
        <v>108</v>
      </c>
      <c r="C52" s="2" t="s">
        <v>104</v>
      </c>
      <c r="D52" s="2">
        <v>1.0</v>
      </c>
    </row>
    <row r="53" ht="15.75" customHeight="1">
      <c r="A53" s="2">
        <v>38.0</v>
      </c>
      <c r="B53" s="2" t="s">
        <v>112</v>
      </c>
      <c r="C53" s="2" t="s">
        <v>100</v>
      </c>
      <c r="D53" s="2">
        <v>1.0</v>
      </c>
    </row>
    <row r="54" ht="15.75" customHeight="1">
      <c r="A54" s="2">
        <v>39.0</v>
      </c>
      <c r="B54" s="2" t="s">
        <v>116</v>
      </c>
      <c r="C54" s="2" t="s">
        <v>108</v>
      </c>
      <c r="D54" s="2">
        <v>1.0</v>
      </c>
    </row>
    <row r="55" ht="15.75" customHeight="1">
      <c r="A55" s="2">
        <v>41.0</v>
      </c>
      <c r="B55" s="2" t="s">
        <v>122</v>
      </c>
      <c r="C55" s="2" t="s">
        <v>119</v>
      </c>
      <c r="D55" s="2">
        <v>1.0</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165</v>
      </c>
      <c r="B1" s="1" t="s">
        <v>3</v>
      </c>
    </row>
    <row r="2">
      <c r="A2" s="5">
        <v>1.0</v>
      </c>
      <c r="B2" s="5" t="s">
        <v>166</v>
      </c>
    </row>
    <row r="3">
      <c r="A3" s="5">
        <v>2.0</v>
      </c>
      <c r="B3" s="5" t="s">
        <v>167</v>
      </c>
    </row>
    <row r="4">
      <c r="A4" s="5">
        <v>3.0</v>
      </c>
      <c r="B4" s="5" t="s">
        <v>168</v>
      </c>
    </row>
    <row r="5">
      <c r="A5" s="5">
        <v>4.0</v>
      </c>
      <c r="B5" s="5" t="s">
        <v>169</v>
      </c>
    </row>
    <row r="6">
      <c r="A6" s="5">
        <v>5.0</v>
      </c>
      <c r="B6" s="5" t="s">
        <v>170</v>
      </c>
    </row>
    <row r="7">
      <c r="A7" s="5">
        <v>6.0</v>
      </c>
      <c r="B7" s="5" t="s">
        <v>171</v>
      </c>
    </row>
    <row r="8">
      <c r="A8" s="5">
        <v>7.0</v>
      </c>
      <c r="B8" s="5" t="s">
        <v>172</v>
      </c>
    </row>
    <row r="9">
      <c r="A9" s="5">
        <v>8.0</v>
      </c>
      <c r="B9" s="5"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165</v>
      </c>
      <c r="B1" s="1" t="s">
        <v>0</v>
      </c>
    </row>
    <row r="2">
      <c r="A2" s="5">
        <v>1.0</v>
      </c>
      <c r="B2" s="5">
        <v>200.0</v>
      </c>
    </row>
    <row r="3">
      <c r="A3" s="5">
        <v>1.0</v>
      </c>
      <c r="B3" s="5">
        <v>203.0</v>
      </c>
    </row>
    <row r="4">
      <c r="A4" s="5">
        <v>2.0</v>
      </c>
      <c r="B4" s="5">
        <v>251.0</v>
      </c>
    </row>
    <row r="5">
      <c r="A5" s="5">
        <v>3.0</v>
      </c>
      <c r="B5" s="5">
        <v>300.0</v>
      </c>
    </row>
    <row r="6">
      <c r="A6" s="5">
        <v>4.0</v>
      </c>
      <c r="B6" s="5">
        <v>302.0</v>
      </c>
    </row>
    <row r="7">
      <c r="A7" s="5">
        <v>5.0</v>
      </c>
      <c r="B7" s="5">
        <v>306.0</v>
      </c>
    </row>
    <row r="8">
      <c r="A8" s="5">
        <v>6.0</v>
      </c>
      <c r="B8" s="5">
        <v>321.0</v>
      </c>
    </row>
    <row r="9">
      <c r="A9" s="5">
        <v>7.0</v>
      </c>
      <c r="B9" s="5">
        <v>335.0</v>
      </c>
    </row>
    <row r="10">
      <c r="A10" s="5">
        <v>8.0</v>
      </c>
      <c r="B10" s="5">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5" t="s">
        <v>174</v>
      </c>
      <c r="B1" s="5" t="s">
        <v>175</v>
      </c>
      <c r="C1" s="5" t="s">
        <v>176</v>
      </c>
      <c r="D1" s="5" t="s">
        <v>177</v>
      </c>
    </row>
    <row r="2">
      <c r="A2" s="6">
        <v>1.0</v>
      </c>
      <c r="B2" s="6" t="s">
        <v>178</v>
      </c>
      <c r="C2" s="6" t="s">
        <v>179</v>
      </c>
      <c r="D2" s="6" t="s">
        <v>180</v>
      </c>
    </row>
    <row r="3">
      <c r="A3" s="6">
        <v>2.0</v>
      </c>
      <c r="B3" s="6" t="s">
        <v>181</v>
      </c>
      <c r="C3" s="6" t="s">
        <v>179</v>
      </c>
      <c r="D3" s="6" t="s">
        <v>180</v>
      </c>
    </row>
    <row r="4">
      <c r="A4" s="6">
        <v>3.0</v>
      </c>
      <c r="B4" s="6" t="s">
        <v>182</v>
      </c>
      <c r="C4" s="6" t="s">
        <v>179</v>
      </c>
      <c r="D4" s="6" t="s">
        <v>180</v>
      </c>
    </row>
    <row r="5">
      <c r="A5" s="6">
        <v>4.0</v>
      </c>
      <c r="B5" s="6" t="s">
        <v>183</v>
      </c>
      <c r="C5" s="6" t="s">
        <v>179</v>
      </c>
      <c r="D5" s="6" t="s">
        <v>180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6" width="10.71"/>
  </cols>
  <sheetData>
    <row r="1">
      <c r="A1" s="1" t="s">
        <v>0</v>
      </c>
      <c r="B1" s="5" t="s">
        <v>184</v>
      </c>
      <c r="C1" s="5" t="s">
        <v>185</v>
      </c>
      <c r="D1" s="5" t="s">
        <v>186</v>
      </c>
      <c r="E1" s="5" t="s">
        <v>187</v>
      </c>
      <c r="F1" s="5" t="s">
        <v>188</v>
      </c>
    </row>
    <row r="2">
      <c r="A2" s="5" t="s">
        <v>6</v>
      </c>
      <c r="B2" s="5">
        <v>2.0</v>
      </c>
      <c r="C2" s="7">
        <v>16.0</v>
      </c>
      <c r="D2" s="8">
        <f t="shared" ref="D2:D32" si="1">B2*COS(C2/32*3.14159)</f>
        <v>0.000002653589793</v>
      </c>
      <c r="E2" s="8">
        <f t="shared" ref="E2:E32" si="2">B2*SIN(C2/32*3.14159)</f>
        <v>2</v>
      </c>
      <c r="F2" s="5">
        <v>0.0</v>
      </c>
    </row>
    <row r="3">
      <c r="A3" s="5" t="s">
        <v>12</v>
      </c>
      <c r="B3" s="7">
        <v>2.0</v>
      </c>
      <c r="C3" s="7">
        <v>24.0</v>
      </c>
      <c r="D3" s="8">
        <f t="shared" si="1"/>
        <v>-1.414210748</v>
      </c>
      <c r="E3" s="8">
        <f t="shared" si="2"/>
        <v>1.414216377</v>
      </c>
      <c r="F3" s="5">
        <v>0.0</v>
      </c>
    </row>
    <row r="4">
      <c r="A4" s="5" t="s">
        <v>16</v>
      </c>
      <c r="B4" s="7">
        <v>1.0</v>
      </c>
      <c r="C4" s="7">
        <v>8.0</v>
      </c>
      <c r="D4" s="8">
        <f t="shared" si="1"/>
        <v>0.7071072503</v>
      </c>
      <c r="E4" s="8">
        <f t="shared" si="2"/>
        <v>0.7071063121</v>
      </c>
      <c r="F4" s="5">
        <v>0.0</v>
      </c>
    </row>
    <row r="5">
      <c r="A5" s="5" t="s">
        <v>20</v>
      </c>
      <c r="B5" s="7">
        <v>3.0</v>
      </c>
      <c r="C5" s="7">
        <v>8.0</v>
      </c>
      <c r="D5" s="8">
        <f t="shared" si="1"/>
        <v>2.121321751</v>
      </c>
      <c r="E5" s="8">
        <f t="shared" si="2"/>
        <v>2.121318936</v>
      </c>
      <c r="F5" s="5">
        <v>0.0</v>
      </c>
    </row>
    <row r="6">
      <c r="A6" s="5" t="s">
        <v>24</v>
      </c>
      <c r="B6" s="7">
        <v>3.0</v>
      </c>
      <c r="C6" s="7">
        <v>20.0</v>
      </c>
      <c r="D6" s="8">
        <f t="shared" si="1"/>
        <v>-1.1480457</v>
      </c>
      <c r="E6" s="8">
        <f t="shared" si="2"/>
        <v>2.771640502</v>
      </c>
      <c r="F6" s="5">
        <v>0.0</v>
      </c>
    </row>
    <row r="7">
      <c r="A7" s="5" t="s">
        <v>28</v>
      </c>
      <c r="B7" s="7">
        <v>3.0</v>
      </c>
      <c r="C7" s="7">
        <v>24.0</v>
      </c>
      <c r="D7" s="8">
        <f t="shared" si="1"/>
        <v>-2.121316122</v>
      </c>
      <c r="E7" s="8">
        <f t="shared" si="2"/>
        <v>2.121324565</v>
      </c>
      <c r="F7" s="5">
        <v>0.0</v>
      </c>
    </row>
    <row r="8">
      <c r="A8" s="5" t="s">
        <v>31</v>
      </c>
      <c r="B8" s="7">
        <v>4.0</v>
      </c>
      <c r="C8" s="7">
        <v>16.0</v>
      </c>
      <c r="D8" s="8">
        <f t="shared" si="1"/>
        <v>0.000005307179587</v>
      </c>
      <c r="E8" s="8">
        <f t="shared" si="2"/>
        <v>4</v>
      </c>
      <c r="F8" s="5">
        <v>0.0</v>
      </c>
    </row>
    <row r="9">
      <c r="A9" s="4" t="s">
        <v>36</v>
      </c>
      <c r="B9" s="9">
        <v>5.0</v>
      </c>
      <c r="C9" s="9">
        <v>18.0</v>
      </c>
      <c r="D9" s="8">
        <f t="shared" si="1"/>
        <v>-0.9754442903</v>
      </c>
      <c r="E9" s="8">
        <f t="shared" si="2"/>
        <v>4.903927858</v>
      </c>
      <c r="F9" s="5">
        <v>0.0</v>
      </c>
    </row>
    <row r="10">
      <c r="A10" s="4" t="s">
        <v>39</v>
      </c>
      <c r="B10" s="9">
        <v>5.0</v>
      </c>
      <c r="C10" s="9">
        <v>15.0</v>
      </c>
      <c r="D10" s="8">
        <f t="shared" si="1"/>
        <v>0.4900918911</v>
      </c>
      <c r="E10" s="8">
        <f t="shared" si="2"/>
        <v>4.975923024</v>
      </c>
      <c r="F10" s="5">
        <v>0.0</v>
      </c>
    </row>
    <row r="11">
      <c r="A11" s="4" t="s">
        <v>43</v>
      </c>
      <c r="B11" s="9">
        <v>6.0</v>
      </c>
      <c r="C11" s="9">
        <v>14.0</v>
      </c>
      <c r="D11" s="8">
        <f t="shared" si="1"/>
        <v>1.170548764</v>
      </c>
      <c r="E11" s="8">
        <f t="shared" si="2"/>
        <v>5.884710323</v>
      </c>
      <c r="F11" s="5">
        <v>0.0</v>
      </c>
    </row>
    <row r="12">
      <c r="A12" s="4" t="s">
        <v>48</v>
      </c>
      <c r="B12" s="10">
        <v>6.0</v>
      </c>
      <c r="C12" s="10">
        <v>13.0</v>
      </c>
      <c r="D12" s="8">
        <f t="shared" si="1"/>
        <v>1.741714253</v>
      </c>
      <c r="E12" s="8">
        <f t="shared" si="2"/>
        <v>5.741640137</v>
      </c>
      <c r="F12" s="5">
        <v>0.0</v>
      </c>
    </row>
    <row r="13">
      <c r="A13" s="4" t="s">
        <v>53</v>
      </c>
      <c r="B13" s="9">
        <v>6.0</v>
      </c>
      <c r="C13" s="9">
        <v>18.25</v>
      </c>
      <c r="D13" s="8">
        <f t="shared" si="1"/>
        <v>-1.314598581</v>
      </c>
      <c r="E13" s="8">
        <f t="shared" si="2"/>
        <v>5.85421477</v>
      </c>
      <c r="F13" s="5">
        <v>0.0</v>
      </c>
    </row>
    <row r="14">
      <c r="A14" s="4" t="s">
        <v>59</v>
      </c>
      <c r="B14" s="9">
        <v>3.0</v>
      </c>
      <c r="C14" s="9">
        <v>18.0</v>
      </c>
      <c r="D14" s="8">
        <f t="shared" si="1"/>
        <v>-0.5852665742</v>
      </c>
      <c r="E14" s="8">
        <f t="shared" si="2"/>
        <v>2.942356715</v>
      </c>
      <c r="F14" s="5">
        <v>0.0</v>
      </c>
    </row>
    <row r="15">
      <c r="A15" s="4" t="s">
        <v>63</v>
      </c>
      <c r="B15" s="9">
        <v>5.0</v>
      </c>
      <c r="C15" s="9">
        <v>14.0</v>
      </c>
      <c r="D15" s="8">
        <f t="shared" si="1"/>
        <v>0.9754573033</v>
      </c>
      <c r="E15" s="8">
        <f t="shared" si="2"/>
        <v>4.90392527</v>
      </c>
      <c r="F15" s="5">
        <v>0.0</v>
      </c>
    </row>
    <row r="16">
      <c r="A16" s="4" t="s">
        <v>66</v>
      </c>
      <c r="B16" s="9">
        <v>7.0</v>
      </c>
      <c r="C16" s="9">
        <v>18.0</v>
      </c>
      <c r="D16" s="8">
        <f t="shared" si="1"/>
        <v>-1.365622006</v>
      </c>
      <c r="E16" s="8">
        <f t="shared" si="2"/>
        <v>6.865499001</v>
      </c>
      <c r="F16" s="5">
        <v>0.0</v>
      </c>
    </row>
    <row r="17">
      <c r="A17" s="4" t="s">
        <v>70</v>
      </c>
      <c r="B17" s="9">
        <v>7.0</v>
      </c>
      <c r="C17" s="9">
        <v>19.0</v>
      </c>
      <c r="D17" s="8">
        <f t="shared" si="1"/>
        <v>-2.031982187</v>
      </c>
      <c r="E17" s="8">
        <f t="shared" si="2"/>
        <v>6.698585552</v>
      </c>
      <c r="F17" s="5">
        <v>0.0</v>
      </c>
    </row>
    <row r="18">
      <c r="A18" s="4" t="s">
        <v>73</v>
      </c>
      <c r="B18" s="9">
        <v>7.0</v>
      </c>
      <c r="C18" s="9">
        <v>17.0</v>
      </c>
      <c r="D18" s="8">
        <f t="shared" si="1"/>
        <v>-0.6861101618</v>
      </c>
      <c r="E18" s="8">
        <f t="shared" si="2"/>
        <v>6.966294054</v>
      </c>
      <c r="F18" s="5">
        <v>0.0</v>
      </c>
    </row>
    <row r="19">
      <c r="A19" s="4" t="s">
        <v>76</v>
      </c>
      <c r="B19" s="9">
        <v>7.0</v>
      </c>
      <c r="C19" s="9">
        <v>16.5</v>
      </c>
      <c r="D19" s="8">
        <f t="shared" si="1"/>
        <v>-0.343464154</v>
      </c>
      <c r="E19" s="8">
        <f t="shared" si="2"/>
        <v>6.991568663</v>
      </c>
      <c r="F19" s="5">
        <v>0.0</v>
      </c>
    </row>
    <row r="20">
      <c r="A20" s="4" t="s">
        <v>79</v>
      </c>
      <c r="B20" s="9">
        <v>7.0</v>
      </c>
      <c r="C20" s="9">
        <v>15.0</v>
      </c>
      <c r="D20" s="8">
        <f t="shared" si="1"/>
        <v>0.6861286475</v>
      </c>
      <c r="E20" s="8">
        <f t="shared" si="2"/>
        <v>6.966292233</v>
      </c>
      <c r="F20" s="5">
        <v>0.0</v>
      </c>
    </row>
    <row r="21" ht="15.75" customHeight="1">
      <c r="A21" s="4" t="s">
        <v>82</v>
      </c>
      <c r="B21" s="9">
        <v>7.0</v>
      </c>
      <c r="C21" s="9">
        <v>20.0</v>
      </c>
      <c r="D21" s="8">
        <f t="shared" si="1"/>
        <v>-2.678773301</v>
      </c>
      <c r="E21" s="8">
        <f t="shared" si="2"/>
        <v>6.46716117</v>
      </c>
      <c r="F21" s="5">
        <v>0.0</v>
      </c>
    </row>
    <row r="22" ht="15.75" customHeight="1">
      <c r="A22" s="4" t="s">
        <v>86</v>
      </c>
      <c r="B22" s="9">
        <v>7.0</v>
      </c>
      <c r="C22" s="9">
        <v>14.0</v>
      </c>
      <c r="D22" s="8">
        <f t="shared" si="1"/>
        <v>1.365640225</v>
      </c>
      <c r="E22" s="8">
        <f t="shared" si="2"/>
        <v>6.865495377</v>
      </c>
      <c r="F22" s="5">
        <v>0.0</v>
      </c>
    </row>
    <row r="23" ht="15.75" customHeight="1">
      <c r="A23" s="4" t="s">
        <v>90</v>
      </c>
      <c r="B23" s="9">
        <v>7.0</v>
      </c>
      <c r="C23" s="9">
        <v>13.0</v>
      </c>
      <c r="D23" s="8">
        <f t="shared" si="1"/>
        <v>2.031999962</v>
      </c>
      <c r="E23" s="8">
        <f t="shared" si="2"/>
        <v>6.69858016</v>
      </c>
      <c r="F23" s="5">
        <v>0.0</v>
      </c>
    </row>
    <row r="24" ht="15.75" customHeight="1">
      <c r="A24" s="4" t="s">
        <v>93</v>
      </c>
      <c r="B24" s="9">
        <v>6.0</v>
      </c>
      <c r="C24" s="9">
        <v>16.0</v>
      </c>
      <c r="D24" s="8">
        <f t="shared" si="1"/>
        <v>0.00000796076938</v>
      </c>
      <c r="E24" s="8">
        <f t="shared" si="2"/>
        <v>6</v>
      </c>
      <c r="F24" s="5">
        <v>0.0</v>
      </c>
    </row>
    <row r="25" ht="15.75" customHeight="1">
      <c r="A25" s="4" t="s">
        <v>97</v>
      </c>
      <c r="B25" s="9">
        <v>7.0</v>
      </c>
      <c r="C25" s="9">
        <v>15.5</v>
      </c>
      <c r="D25" s="8">
        <f t="shared" si="1"/>
        <v>0.3434827068</v>
      </c>
      <c r="E25" s="8">
        <f t="shared" si="2"/>
        <v>6.991567752</v>
      </c>
      <c r="F25" s="5">
        <v>0.0</v>
      </c>
    </row>
    <row r="26" ht="15.75" customHeight="1">
      <c r="A26" s="4" t="s">
        <v>100</v>
      </c>
      <c r="B26" s="10">
        <v>1.0</v>
      </c>
      <c r="C26" s="10">
        <v>16.0</v>
      </c>
      <c r="D26" s="8">
        <f t="shared" si="1"/>
        <v>0.000001326794897</v>
      </c>
      <c r="E26" s="8">
        <f t="shared" si="2"/>
        <v>1</v>
      </c>
      <c r="F26" s="5">
        <v>0.0</v>
      </c>
    </row>
    <row r="27" ht="15.75" customHeight="1">
      <c r="A27" s="4" t="s">
        <v>104</v>
      </c>
      <c r="B27" s="10">
        <v>2.0</v>
      </c>
      <c r="C27" s="11">
        <v>8.0</v>
      </c>
      <c r="D27" s="8">
        <f t="shared" si="1"/>
        <v>1.414214501</v>
      </c>
      <c r="E27" s="8">
        <f t="shared" si="2"/>
        <v>1.414212624</v>
      </c>
      <c r="F27" s="5">
        <v>0.0</v>
      </c>
    </row>
    <row r="28" ht="15.75" customHeight="1">
      <c r="A28" s="4" t="s">
        <v>108</v>
      </c>
      <c r="B28" s="10">
        <v>3.0</v>
      </c>
      <c r="C28" s="10">
        <v>12.0</v>
      </c>
      <c r="D28" s="8">
        <f t="shared" si="1"/>
        <v>1.148053055</v>
      </c>
      <c r="E28" s="8">
        <f t="shared" si="2"/>
        <v>2.771637455</v>
      </c>
      <c r="F28" s="5">
        <v>0.0</v>
      </c>
    </row>
    <row r="29" ht="15.75" customHeight="1">
      <c r="A29" s="4" t="s">
        <v>112</v>
      </c>
      <c r="B29" s="10">
        <v>2.5</v>
      </c>
      <c r="C29" s="10">
        <v>14.0</v>
      </c>
      <c r="D29" s="8">
        <f t="shared" si="1"/>
        <v>0.4877286516</v>
      </c>
      <c r="E29" s="8">
        <f t="shared" si="2"/>
        <v>2.451962635</v>
      </c>
      <c r="F29" s="5">
        <v>0.0</v>
      </c>
    </row>
    <row r="30" ht="15.75" customHeight="1">
      <c r="A30" s="4" t="s">
        <v>116</v>
      </c>
      <c r="B30" s="10">
        <v>4.0</v>
      </c>
      <c r="C30" s="10">
        <v>12.0</v>
      </c>
      <c r="D30" s="8">
        <f t="shared" si="1"/>
        <v>1.530737407</v>
      </c>
      <c r="E30" s="8">
        <f t="shared" si="2"/>
        <v>3.695516607</v>
      </c>
      <c r="F30" s="5">
        <v>0.0</v>
      </c>
    </row>
    <row r="31" ht="15.75" customHeight="1">
      <c r="A31" s="4" t="s">
        <v>119</v>
      </c>
      <c r="B31" s="10">
        <v>1.0</v>
      </c>
      <c r="C31" s="10">
        <v>24.0</v>
      </c>
      <c r="D31" s="8">
        <f t="shared" si="1"/>
        <v>-0.7071053739</v>
      </c>
      <c r="E31" s="8">
        <f t="shared" si="2"/>
        <v>0.7071081885</v>
      </c>
      <c r="F31" s="5">
        <v>0.0</v>
      </c>
    </row>
    <row r="32" ht="15.75" customHeight="1">
      <c r="A32" s="4" t="s">
        <v>122</v>
      </c>
      <c r="B32" s="10">
        <v>2.0</v>
      </c>
      <c r="C32" s="10">
        <v>20.0</v>
      </c>
      <c r="D32" s="8">
        <f t="shared" si="1"/>
        <v>-0.7653638002</v>
      </c>
      <c r="E32" s="8">
        <f t="shared" si="2"/>
        <v>1.847760334</v>
      </c>
      <c r="F32" s="5">
        <v>0.0</v>
      </c>
    </row>
    <row r="33" ht="15.75" customHeight="1">
      <c r="D33" s="8"/>
      <c r="E33" s="8"/>
    </row>
    <row r="34" ht="15.75" customHeight="1">
      <c r="D34" s="8"/>
      <c r="E34" s="8"/>
    </row>
    <row r="35" ht="15.75" customHeight="1">
      <c r="D35" s="8"/>
      <c r="E35" s="8"/>
    </row>
    <row r="36" ht="15.75" customHeight="1">
      <c r="D36" s="8"/>
      <c r="E36" s="8"/>
    </row>
    <row r="37" ht="15.75" customHeight="1">
      <c r="D37" s="8"/>
      <c r="E37" s="8"/>
    </row>
    <row r="38" ht="15.75" customHeight="1">
      <c r="D38" s="8"/>
      <c r="E38" s="8"/>
    </row>
    <row r="39" ht="15.75" customHeight="1">
      <c r="B39" s="11"/>
      <c r="C39" s="11"/>
      <c r="D39" s="8"/>
      <c r="E39" s="8"/>
    </row>
    <row r="40" ht="15.75" customHeight="1">
      <c r="B40" s="11"/>
      <c r="C40" s="11"/>
      <c r="D40" s="8"/>
      <c r="E40" s="8"/>
    </row>
    <row r="41" ht="15.75" customHeight="1">
      <c r="D41" s="8"/>
      <c r="E41" s="8"/>
    </row>
    <row r="42" ht="15.75" customHeight="1">
      <c r="D42" s="8"/>
      <c r="E42" s="8"/>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2" t="s">
        <v>163</v>
      </c>
      <c r="D1" s="8" t="s">
        <v>189</v>
      </c>
      <c r="E1" s="8" t="s">
        <v>190</v>
      </c>
      <c r="F1" s="8" t="s">
        <v>191</v>
      </c>
      <c r="G1" s="8" t="s">
        <v>192</v>
      </c>
      <c r="H1" s="8" t="s">
        <v>193</v>
      </c>
      <c r="I1" s="8" t="s">
        <v>194</v>
      </c>
    </row>
    <row r="2">
      <c r="A2" s="2">
        <v>1.0</v>
      </c>
      <c r="B2" s="2" t="s">
        <v>6</v>
      </c>
      <c r="C2" s="2" t="s">
        <v>100</v>
      </c>
      <c r="D2" s="8">
        <f>VLOOKUP(B2,courses_program1!A:E,4,0)</f>
        <v>0.000002653589793</v>
      </c>
      <c r="E2" s="8">
        <f>VLOOKUP(B2,courses_program1!A:E,5,0)</f>
        <v>2</v>
      </c>
      <c r="F2" s="8">
        <f>VLOOKUP(C2,courses_program1!A:E,4,0)</f>
        <v>0.000001326794897</v>
      </c>
      <c r="G2" s="8">
        <f>VLOOKUP(C2,courses_program1!A:E,5,0)</f>
        <v>1</v>
      </c>
      <c r="H2" s="2">
        <v>1.0</v>
      </c>
      <c r="I2" s="2" t="str">
        <f t="shared" ref="I2:I55" si="1">CONCAT(B2, C2)</f>
        <v>S200M100</v>
      </c>
    </row>
    <row r="3">
      <c r="A3" s="2">
        <v>2.0</v>
      </c>
      <c r="B3" s="2" t="s">
        <v>12</v>
      </c>
      <c r="C3" s="2" t="s">
        <v>119</v>
      </c>
      <c r="D3" s="8">
        <f>VLOOKUP(B3,courses_program1!A:E,4,0)</f>
        <v>-1.414210748</v>
      </c>
      <c r="E3" s="8">
        <f>VLOOKUP(B3,courses_program1!A:E,5,0)</f>
        <v>1.414216377</v>
      </c>
      <c r="F3" s="8">
        <f>VLOOKUP(C3,courses_program1!A:E,4,0)</f>
        <v>-0.7071053739</v>
      </c>
      <c r="G3" s="8">
        <f>VLOOKUP(C3,courses_program1!A:E,5,0)</f>
        <v>0.7071081885</v>
      </c>
      <c r="H3" s="2">
        <v>1.0</v>
      </c>
      <c r="I3" s="2" t="str">
        <f t="shared" si="1"/>
        <v>S201D100</v>
      </c>
    </row>
    <row r="4">
      <c r="A4" s="2">
        <v>4.0</v>
      </c>
      <c r="B4" s="2" t="s">
        <v>20</v>
      </c>
      <c r="C4" s="2" t="s">
        <v>104</v>
      </c>
      <c r="D4" s="8">
        <f>VLOOKUP(B4,courses_program1!A:E,4,0)</f>
        <v>2.121321751</v>
      </c>
      <c r="E4" s="8">
        <f>VLOOKUP(B4,courses_program1!A:E,5,0)</f>
        <v>2.121318936</v>
      </c>
      <c r="F4" s="8">
        <f>VLOOKUP(C4,courses_program1!A:E,4,0)</f>
        <v>1.414214501</v>
      </c>
      <c r="G4" s="8">
        <f>VLOOKUP(C4,courses_program1!A:E,5,0)</f>
        <v>1.414212624</v>
      </c>
      <c r="H4" s="2">
        <v>1.0</v>
      </c>
      <c r="I4" s="2" t="str">
        <f t="shared" si="1"/>
        <v>S251M101</v>
      </c>
    </row>
    <row r="5">
      <c r="A5" s="2">
        <v>5.0</v>
      </c>
      <c r="B5" s="2" t="s">
        <v>24</v>
      </c>
      <c r="C5" s="2" t="s">
        <v>6</v>
      </c>
      <c r="D5" s="8">
        <f>VLOOKUP(B5,courses_program1!A:E,4,0)</f>
        <v>-1.1480457</v>
      </c>
      <c r="E5" s="8">
        <f>VLOOKUP(B5,courses_program1!A:E,5,0)</f>
        <v>2.771640502</v>
      </c>
      <c r="F5" s="8">
        <f>VLOOKUP(C5,courses_program1!A:E,4,0)</f>
        <v>0.000002653589793</v>
      </c>
      <c r="G5" s="8">
        <f>VLOOKUP(C5,courses_program1!A:E,5,0)</f>
        <v>2</v>
      </c>
      <c r="H5" s="2">
        <v>1.0</v>
      </c>
      <c r="I5" s="2" t="str">
        <f t="shared" si="1"/>
        <v>S300S200</v>
      </c>
    </row>
    <row r="6">
      <c r="A6" s="2">
        <v>5.0</v>
      </c>
      <c r="B6" s="2" t="s">
        <v>24</v>
      </c>
      <c r="C6" s="2" t="s">
        <v>16</v>
      </c>
      <c r="D6" s="8">
        <f>VLOOKUP(B6,courses_program1!A:E,4,0)</f>
        <v>-1.1480457</v>
      </c>
      <c r="E6" s="8">
        <f>VLOOKUP(B6,courses_program1!A:E,5,0)</f>
        <v>2.771640502</v>
      </c>
      <c r="F6" s="8">
        <f>VLOOKUP(C6,courses_program1!A:E,4,0)</f>
        <v>0.7071072503</v>
      </c>
      <c r="G6" s="8">
        <f>VLOOKUP(C6,courses_program1!A:E,5,0)</f>
        <v>0.7071063121</v>
      </c>
      <c r="H6" s="2">
        <v>0.0</v>
      </c>
      <c r="I6" s="2" t="str">
        <f t="shared" si="1"/>
        <v>S300S203</v>
      </c>
    </row>
    <row r="7">
      <c r="A7" s="2">
        <v>5.0</v>
      </c>
      <c r="B7" s="2" t="s">
        <v>24</v>
      </c>
      <c r="C7" s="2" t="s">
        <v>20</v>
      </c>
      <c r="D7" s="8">
        <f>VLOOKUP(B7,courses_program1!A:E,4,0)</f>
        <v>-1.1480457</v>
      </c>
      <c r="E7" s="8">
        <f>VLOOKUP(B7,courses_program1!A:E,5,0)</f>
        <v>2.771640502</v>
      </c>
      <c r="F7" s="8">
        <f>VLOOKUP(C7,courses_program1!A:E,4,0)</f>
        <v>2.121321751</v>
      </c>
      <c r="G7" s="8">
        <f>VLOOKUP(C7,courses_program1!A:E,5,0)</f>
        <v>2.121318936</v>
      </c>
      <c r="H7" s="2">
        <v>0.0</v>
      </c>
      <c r="I7" s="2" t="str">
        <f t="shared" si="1"/>
        <v>S300S251</v>
      </c>
    </row>
    <row r="8">
      <c r="A8" s="2">
        <v>6.0</v>
      </c>
      <c r="B8" s="2" t="s">
        <v>28</v>
      </c>
      <c r="C8" s="2" t="s">
        <v>12</v>
      </c>
      <c r="D8" s="8">
        <f>VLOOKUP(B8,courses_program1!A:E,4,0)</f>
        <v>-2.121316122</v>
      </c>
      <c r="E8" s="8">
        <f>VLOOKUP(B8,courses_program1!A:E,5,0)</f>
        <v>2.121324565</v>
      </c>
      <c r="F8" s="8">
        <f>VLOOKUP(C8,courses_program1!A:E,4,0)</f>
        <v>-1.414210748</v>
      </c>
      <c r="G8" s="8">
        <f>VLOOKUP(C8,courses_program1!A:E,5,0)</f>
        <v>1.414216377</v>
      </c>
      <c r="H8" s="2">
        <v>1.0</v>
      </c>
      <c r="I8" s="2" t="str">
        <f t="shared" si="1"/>
        <v>S301S201</v>
      </c>
    </row>
    <row r="9">
      <c r="A9" s="2">
        <v>7.0</v>
      </c>
      <c r="B9" s="2" t="s">
        <v>28</v>
      </c>
      <c r="C9" s="2" t="s">
        <v>100</v>
      </c>
      <c r="D9" s="8">
        <f>VLOOKUP(B9,courses_program1!A:E,4,0)</f>
        <v>-2.121316122</v>
      </c>
      <c r="E9" s="8">
        <f>VLOOKUP(B9,courses_program1!A:E,5,0)</f>
        <v>2.121324565</v>
      </c>
      <c r="F9" s="8">
        <f>VLOOKUP(C9,courses_program1!A:E,4,0)</f>
        <v>0.000001326794897</v>
      </c>
      <c r="G9" s="8">
        <f>VLOOKUP(C9,courses_program1!A:E,5,0)</f>
        <v>1</v>
      </c>
      <c r="H9" s="2">
        <v>1.0</v>
      </c>
      <c r="I9" s="2" t="str">
        <f t="shared" si="1"/>
        <v>S301M100</v>
      </c>
    </row>
    <row r="10">
      <c r="A10" s="2">
        <v>8.0</v>
      </c>
      <c r="B10" s="2" t="s">
        <v>31</v>
      </c>
      <c r="C10" s="2" t="s">
        <v>108</v>
      </c>
      <c r="D10" s="8">
        <f>VLOOKUP(B10,courses_program1!A:E,4,0)</f>
        <v>0.000005307179587</v>
      </c>
      <c r="E10" s="8">
        <f>VLOOKUP(B10,courses_program1!A:E,5,0)</f>
        <v>4</v>
      </c>
      <c r="F10" s="8">
        <f>VLOOKUP(C10,courses_program1!A:E,4,0)</f>
        <v>1.148053055</v>
      </c>
      <c r="G10" s="8">
        <f>VLOOKUP(C10,courses_program1!A:E,5,0)</f>
        <v>2.771637455</v>
      </c>
      <c r="H10" s="2">
        <v>1.0</v>
      </c>
      <c r="I10" s="2" t="str">
        <f t="shared" si="1"/>
        <v>S302M200</v>
      </c>
    </row>
    <row r="11">
      <c r="A11" s="2">
        <v>9.0</v>
      </c>
      <c r="B11" s="2" t="s">
        <v>36</v>
      </c>
      <c r="C11" s="2" t="s">
        <v>6</v>
      </c>
      <c r="D11" s="8">
        <f>VLOOKUP(B11,courses_program1!A:E,4,0)</f>
        <v>-0.9754442903</v>
      </c>
      <c r="E11" s="8">
        <f>VLOOKUP(B11,courses_program1!A:E,5,0)</f>
        <v>4.903927858</v>
      </c>
      <c r="F11" s="8">
        <f>VLOOKUP(C11,courses_program1!A:E,4,0)</f>
        <v>0.000002653589793</v>
      </c>
      <c r="G11" s="8">
        <f>VLOOKUP(C11,courses_program1!A:E,5,0)</f>
        <v>2</v>
      </c>
      <c r="H11" s="2">
        <v>1.0</v>
      </c>
      <c r="I11" s="2" t="str">
        <f t="shared" si="1"/>
        <v>S305S200</v>
      </c>
    </row>
    <row r="12">
      <c r="A12" s="2">
        <v>9.0</v>
      </c>
      <c r="B12" s="2" t="s">
        <v>36</v>
      </c>
      <c r="C12" s="2" t="s">
        <v>16</v>
      </c>
      <c r="D12" s="8">
        <f>VLOOKUP(B12,courses_program1!A:E,4,0)</f>
        <v>-0.9754442903</v>
      </c>
      <c r="E12" s="8">
        <f>VLOOKUP(B12,courses_program1!A:E,5,0)</f>
        <v>4.903927858</v>
      </c>
      <c r="F12" s="8">
        <f>VLOOKUP(C12,courses_program1!A:E,4,0)</f>
        <v>0.7071072503</v>
      </c>
      <c r="G12" s="8">
        <f>VLOOKUP(C12,courses_program1!A:E,5,0)</f>
        <v>0.7071063121</v>
      </c>
      <c r="H12" s="2">
        <v>0.0</v>
      </c>
      <c r="I12" s="2" t="str">
        <f t="shared" si="1"/>
        <v>S305S203</v>
      </c>
    </row>
    <row r="13">
      <c r="A13" s="2">
        <v>9.0</v>
      </c>
      <c r="B13" s="2" t="s">
        <v>36</v>
      </c>
      <c r="C13" s="2" t="s">
        <v>20</v>
      </c>
      <c r="D13" s="8">
        <f>VLOOKUP(B13,courses_program1!A:E,4,0)</f>
        <v>-0.9754442903</v>
      </c>
      <c r="E13" s="8">
        <f>VLOOKUP(B13,courses_program1!A:E,5,0)</f>
        <v>4.903927858</v>
      </c>
      <c r="F13" s="8">
        <f>VLOOKUP(C13,courses_program1!A:E,4,0)</f>
        <v>2.121321751</v>
      </c>
      <c r="G13" s="8">
        <f>VLOOKUP(C13,courses_program1!A:E,5,0)</f>
        <v>2.121318936</v>
      </c>
      <c r="H13" s="2">
        <v>0.0</v>
      </c>
      <c r="I13" s="2" t="str">
        <f t="shared" si="1"/>
        <v>S305S251</v>
      </c>
    </row>
    <row r="14">
      <c r="A14" s="2">
        <v>9.0</v>
      </c>
      <c r="B14" s="2" t="s">
        <v>36</v>
      </c>
      <c r="C14" s="2" t="s">
        <v>31</v>
      </c>
      <c r="D14" s="8">
        <f>VLOOKUP(B14,courses_program1!A:E,4,0)</f>
        <v>-0.9754442903</v>
      </c>
      <c r="E14" s="8">
        <f>VLOOKUP(B14,courses_program1!A:E,5,0)</f>
        <v>4.903927858</v>
      </c>
      <c r="F14" s="8">
        <f>VLOOKUP(C14,courses_program1!A:E,4,0)</f>
        <v>0.000005307179587</v>
      </c>
      <c r="G14" s="8">
        <f>VLOOKUP(C14,courses_program1!A:E,5,0)</f>
        <v>4</v>
      </c>
      <c r="H14" s="2">
        <v>1.0</v>
      </c>
      <c r="I14" s="2" t="str">
        <f t="shared" si="1"/>
        <v>S305S302</v>
      </c>
    </row>
    <row r="15">
      <c r="A15" s="2">
        <v>9.0</v>
      </c>
      <c r="B15" s="2" t="s">
        <v>36</v>
      </c>
      <c r="C15" s="2" t="s">
        <v>12</v>
      </c>
      <c r="D15" s="8">
        <f>VLOOKUP(B15,courses_program1!A:E,4,0)</f>
        <v>-0.9754442903</v>
      </c>
      <c r="E15" s="8">
        <f>VLOOKUP(B15,courses_program1!A:E,5,0)</f>
        <v>4.903927858</v>
      </c>
      <c r="F15" s="8">
        <f>VLOOKUP(C15,courses_program1!A:E,4,0)</f>
        <v>-1.414210748</v>
      </c>
      <c r="G15" s="8">
        <f>VLOOKUP(C15,courses_program1!A:E,5,0)</f>
        <v>1.414216377</v>
      </c>
      <c r="H15" s="2">
        <v>1.0</v>
      </c>
      <c r="I15" s="2" t="str">
        <f t="shared" si="1"/>
        <v>S305S201</v>
      </c>
    </row>
    <row r="16">
      <c r="A16" s="2">
        <v>9.0</v>
      </c>
      <c r="B16" s="2" t="s">
        <v>36</v>
      </c>
      <c r="C16" s="2" t="s">
        <v>122</v>
      </c>
      <c r="D16" s="8">
        <f>VLOOKUP(B16,courses_program1!A:E,4,0)</f>
        <v>-0.9754442903</v>
      </c>
      <c r="E16" s="8">
        <f>VLOOKUP(B16,courses_program1!A:E,5,0)</f>
        <v>4.903927858</v>
      </c>
      <c r="F16" s="8">
        <f>VLOOKUP(C16,courses_program1!A:E,4,0)</f>
        <v>-0.7653638002</v>
      </c>
      <c r="G16" s="8">
        <f>VLOOKUP(C16,courses_program1!A:E,5,0)</f>
        <v>1.847760334</v>
      </c>
      <c r="H16" s="2">
        <v>1.0</v>
      </c>
      <c r="I16" s="2" t="str">
        <f t="shared" si="1"/>
        <v>S305D200</v>
      </c>
    </row>
    <row r="17">
      <c r="A17" s="2">
        <v>10.0</v>
      </c>
      <c r="B17" s="2" t="s">
        <v>39</v>
      </c>
      <c r="C17" s="2" t="s">
        <v>112</v>
      </c>
      <c r="D17" s="8">
        <f>VLOOKUP(B17,courses_program1!A:E,4,0)</f>
        <v>0.4900918911</v>
      </c>
      <c r="E17" s="8">
        <f>VLOOKUP(B17,courses_program1!A:E,5,0)</f>
        <v>4.975923024</v>
      </c>
      <c r="F17" s="8">
        <f>VLOOKUP(C17,courses_program1!A:E,4,0)</f>
        <v>0.4877286516</v>
      </c>
      <c r="G17" s="8">
        <f>VLOOKUP(C17,courses_program1!A:E,5,0)</f>
        <v>2.451962635</v>
      </c>
      <c r="H17" s="2">
        <v>1.0</v>
      </c>
      <c r="I17" s="2" t="str">
        <f t="shared" si="1"/>
        <v>S306M221</v>
      </c>
    </row>
    <row r="18">
      <c r="A18" s="2">
        <v>11.0</v>
      </c>
      <c r="B18" s="2" t="s">
        <v>39</v>
      </c>
      <c r="C18" s="2" t="s">
        <v>6</v>
      </c>
      <c r="D18" s="8">
        <f>VLOOKUP(B18,courses_program1!A:E,4,0)</f>
        <v>0.4900918911</v>
      </c>
      <c r="E18" s="8">
        <f>VLOOKUP(B18,courses_program1!A:E,5,0)</f>
        <v>4.975923024</v>
      </c>
      <c r="F18" s="8">
        <f>VLOOKUP(C18,courses_program1!A:E,4,0)</f>
        <v>0.000002653589793</v>
      </c>
      <c r="G18" s="8">
        <f>VLOOKUP(C18,courses_program1!A:E,5,0)</f>
        <v>2</v>
      </c>
      <c r="H18" s="2">
        <v>1.0</v>
      </c>
      <c r="I18" s="2" t="str">
        <f t="shared" si="1"/>
        <v>S306S200</v>
      </c>
    </row>
    <row r="19">
      <c r="A19" s="2">
        <v>11.0</v>
      </c>
      <c r="B19" s="2" t="s">
        <v>39</v>
      </c>
      <c r="C19" s="2" t="s">
        <v>20</v>
      </c>
      <c r="D19" s="8">
        <f>VLOOKUP(B19,courses_program1!A:E,4,0)</f>
        <v>0.4900918911</v>
      </c>
      <c r="E19" s="8">
        <f>VLOOKUP(B19,courses_program1!A:E,5,0)</f>
        <v>4.975923024</v>
      </c>
      <c r="F19" s="8">
        <f>VLOOKUP(C19,courses_program1!A:E,4,0)</f>
        <v>2.121321751</v>
      </c>
      <c r="G19" s="8">
        <f>VLOOKUP(C19,courses_program1!A:E,5,0)</f>
        <v>2.121318936</v>
      </c>
      <c r="H19" s="2">
        <v>0.0</v>
      </c>
      <c r="I19" s="2" t="str">
        <f t="shared" si="1"/>
        <v>S306S251</v>
      </c>
    </row>
    <row r="20">
      <c r="A20" s="2">
        <v>11.0</v>
      </c>
      <c r="B20" s="2" t="s">
        <v>39</v>
      </c>
      <c r="C20" s="2" t="s">
        <v>24</v>
      </c>
      <c r="D20" s="8">
        <f>VLOOKUP(B20,courses_program1!A:E,4,0)</f>
        <v>0.4900918911</v>
      </c>
      <c r="E20" s="8">
        <f>VLOOKUP(B20,courses_program1!A:E,5,0)</f>
        <v>4.975923024</v>
      </c>
      <c r="F20" s="8">
        <f>VLOOKUP(C20,courses_program1!A:E,4,0)</f>
        <v>-1.1480457</v>
      </c>
      <c r="G20" s="8">
        <f>VLOOKUP(C20,courses_program1!A:E,5,0)</f>
        <v>2.771640502</v>
      </c>
      <c r="H20" s="2">
        <v>0.0</v>
      </c>
      <c r="I20" s="2" t="str">
        <f t="shared" si="1"/>
        <v>S306S300</v>
      </c>
    </row>
    <row r="21" ht="15.75" customHeight="1">
      <c r="A21" s="2">
        <v>12.0</v>
      </c>
      <c r="B21" s="2" t="s">
        <v>39</v>
      </c>
      <c r="C21" s="2" t="s">
        <v>31</v>
      </c>
      <c r="D21" s="8">
        <f>VLOOKUP(B21,courses_program1!A:E,4,0)</f>
        <v>0.4900918911</v>
      </c>
      <c r="E21" s="8">
        <f>VLOOKUP(B21,courses_program1!A:E,5,0)</f>
        <v>4.975923024</v>
      </c>
      <c r="F21" s="8">
        <f>VLOOKUP(C21,courses_program1!A:E,4,0)</f>
        <v>0.000005307179587</v>
      </c>
      <c r="G21" s="8">
        <f>VLOOKUP(C21,courses_program1!A:E,5,0)</f>
        <v>4</v>
      </c>
      <c r="H21" s="2">
        <v>1.0</v>
      </c>
      <c r="I21" s="2" t="str">
        <f t="shared" si="1"/>
        <v>S306S302</v>
      </c>
    </row>
    <row r="22" ht="15.75" customHeight="1">
      <c r="A22" s="2">
        <v>13.0</v>
      </c>
      <c r="B22" s="2" t="s">
        <v>43</v>
      </c>
      <c r="C22" s="2" t="s">
        <v>39</v>
      </c>
      <c r="D22" s="8">
        <f>VLOOKUP(B22,courses_program1!A:E,4,0)</f>
        <v>1.170548764</v>
      </c>
      <c r="E22" s="8">
        <f>VLOOKUP(B22,courses_program1!A:E,5,0)</f>
        <v>5.884710323</v>
      </c>
      <c r="F22" s="8">
        <f>VLOOKUP(C22,courses_program1!A:E,4,0)</f>
        <v>0.4900918911</v>
      </c>
      <c r="G22" s="8">
        <f>VLOOKUP(C22,courses_program1!A:E,5,0)</f>
        <v>4.975923024</v>
      </c>
      <c r="H22" s="2">
        <v>1.0</v>
      </c>
      <c r="I22" s="2" t="str">
        <f t="shared" si="1"/>
        <v>S307S306</v>
      </c>
    </row>
    <row r="23" ht="15.75" customHeight="1">
      <c r="A23" s="2">
        <v>14.0</v>
      </c>
      <c r="B23" s="2" t="s">
        <v>53</v>
      </c>
      <c r="C23" s="2" t="s">
        <v>36</v>
      </c>
      <c r="D23" s="8">
        <f>VLOOKUP(B23,courses_program1!A:E,4,0)</f>
        <v>-1.314598581</v>
      </c>
      <c r="E23" s="8">
        <f>VLOOKUP(B23,courses_program1!A:E,5,0)</f>
        <v>5.85421477</v>
      </c>
      <c r="F23" s="8">
        <f>VLOOKUP(C23,courses_program1!A:E,4,0)</f>
        <v>-0.9754442903</v>
      </c>
      <c r="G23" s="8">
        <f>VLOOKUP(C23,courses_program1!A:E,5,0)</f>
        <v>4.903927858</v>
      </c>
      <c r="H23" s="2">
        <v>1.0</v>
      </c>
      <c r="I23" s="2" t="str">
        <f t="shared" si="1"/>
        <v>S321S305</v>
      </c>
    </row>
    <row r="24" ht="15.75" customHeight="1">
      <c r="A24" s="2">
        <v>15.0</v>
      </c>
      <c r="B24" s="2" t="s">
        <v>59</v>
      </c>
      <c r="C24" s="2" t="s">
        <v>6</v>
      </c>
      <c r="D24" s="8">
        <f>VLOOKUP(B24,courses_program1!A:E,4,0)</f>
        <v>-0.5852665742</v>
      </c>
      <c r="E24" s="8">
        <f>VLOOKUP(B24,courses_program1!A:E,5,0)</f>
        <v>2.942356715</v>
      </c>
      <c r="F24" s="8">
        <f>VLOOKUP(C24,courses_program1!A:E,4,0)</f>
        <v>0.000002653589793</v>
      </c>
      <c r="G24" s="8">
        <f>VLOOKUP(C24,courses_program1!A:E,5,0)</f>
        <v>2</v>
      </c>
      <c r="H24" s="2">
        <v>1.0</v>
      </c>
      <c r="I24" s="2" t="str">
        <f t="shared" si="1"/>
        <v>S335S200</v>
      </c>
    </row>
    <row r="25" ht="15.75" customHeight="1">
      <c r="A25" s="2">
        <v>15.0</v>
      </c>
      <c r="B25" s="2" t="s">
        <v>59</v>
      </c>
      <c r="C25" s="2" t="s">
        <v>20</v>
      </c>
      <c r="D25" s="8">
        <f>VLOOKUP(B25,courses_program1!A:E,4,0)</f>
        <v>-0.5852665742</v>
      </c>
      <c r="E25" s="8">
        <f>VLOOKUP(B25,courses_program1!A:E,5,0)</f>
        <v>2.942356715</v>
      </c>
      <c r="F25" s="8">
        <f>VLOOKUP(C25,courses_program1!A:E,4,0)</f>
        <v>2.121321751</v>
      </c>
      <c r="G25" s="8">
        <f>VLOOKUP(C25,courses_program1!A:E,5,0)</f>
        <v>2.121318936</v>
      </c>
      <c r="H25" s="2">
        <v>0.0</v>
      </c>
      <c r="I25" s="2" t="str">
        <f t="shared" si="1"/>
        <v>S335S251</v>
      </c>
    </row>
    <row r="26" ht="15.75" customHeight="1">
      <c r="A26" s="2">
        <v>16.0</v>
      </c>
      <c r="B26" s="2" t="s">
        <v>63</v>
      </c>
      <c r="C26" s="2" t="s">
        <v>6</v>
      </c>
      <c r="D26" s="8">
        <f>VLOOKUP(B26,courses_program1!A:E,4,0)</f>
        <v>0.9754573033</v>
      </c>
      <c r="E26" s="8">
        <f>VLOOKUP(B26,courses_program1!A:E,5,0)</f>
        <v>4.90392527</v>
      </c>
      <c r="F26" s="8">
        <f>VLOOKUP(C26,courses_program1!A:E,4,0)</f>
        <v>0.000002653589793</v>
      </c>
      <c r="G26" s="8">
        <f>VLOOKUP(C26,courses_program1!A:E,5,0)</f>
        <v>2</v>
      </c>
      <c r="H26" s="2">
        <v>1.0</v>
      </c>
      <c r="I26" s="2" t="str">
        <f t="shared" si="1"/>
        <v>S344S200</v>
      </c>
    </row>
    <row r="27" ht="15.75" customHeight="1">
      <c r="A27" s="2">
        <v>16.0</v>
      </c>
      <c r="B27" s="2" t="s">
        <v>63</v>
      </c>
      <c r="C27" s="2" t="s">
        <v>20</v>
      </c>
      <c r="D27" s="8">
        <f>VLOOKUP(B27,courses_program1!A:E,4,0)</f>
        <v>0.9754573033</v>
      </c>
      <c r="E27" s="8">
        <f>VLOOKUP(B27,courses_program1!A:E,5,0)</f>
        <v>4.90392527</v>
      </c>
      <c r="F27" s="8">
        <f>VLOOKUP(C27,courses_program1!A:E,4,0)</f>
        <v>2.121321751</v>
      </c>
      <c r="G27" s="8">
        <f>VLOOKUP(C27,courses_program1!A:E,5,0)</f>
        <v>2.121318936</v>
      </c>
      <c r="H27" s="2">
        <v>0.0</v>
      </c>
      <c r="I27" s="2" t="str">
        <f t="shared" si="1"/>
        <v>S344S251</v>
      </c>
    </row>
    <row r="28" ht="15.75" customHeight="1">
      <c r="A28" s="2">
        <v>17.0</v>
      </c>
      <c r="B28" s="2" t="s">
        <v>63</v>
      </c>
      <c r="C28" s="2" t="s">
        <v>31</v>
      </c>
      <c r="D28" s="8">
        <f>VLOOKUP(B28,courses_program1!A:E,4,0)</f>
        <v>0.9754573033</v>
      </c>
      <c r="E28" s="8">
        <f>VLOOKUP(B28,courses_program1!A:E,5,0)</f>
        <v>4.90392527</v>
      </c>
      <c r="F28" s="8">
        <f>VLOOKUP(C28,courses_program1!A:E,4,0)</f>
        <v>0.000005307179587</v>
      </c>
      <c r="G28" s="8">
        <f>VLOOKUP(C28,courses_program1!A:E,5,0)</f>
        <v>4</v>
      </c>
      <c r="H28" s="2">
        <v>1.0</v>
      </c>
      <c r="I28" s="2" t="str">
        <f t="shared" si="1"/>
        <v>S344S302</v>
      </c>
    </row>
    <row r="29" ht="15.75" customHeight="1">
      <c r="A29" s="2">
        <v>18.0</v>
      </c>
      <c r="B29" s="2" t="s">
        <v>66</v>
      </c>
      <c r="C29" s="2" t="s">
        <v>36</v>
      </c>
      <c r="D29" s="8">
        <f>VLOOKUP(B29,courses_program1!A:E,4,0)</f>
        <v>-1.365622006</v>
      </c>
      <c r="E29" s="8">
        <f>VLOOKUP(B29,courses_program1!A:E,5,0)</f>
        <v>6.865499001</v>
      </c>
      <c r="F29" s="8">
        <f>VLOOKUP(C29,courses_program1!A:E,4,0)</f>
        <v>-0.9754442903</v>
      </c>
      <c r="G29" s="8">
        <f>VLOOKUP(C29,courses_program1!A:E,5,0)</f>
        <v>4.903927858</v>
      </c>
      <c r="H29" s="2">
        <v>1.0</v>
      </c>
      <c r="I29" s="2" t="str">
        <f t="shared" si="1"/>
        <v>S404S305</v>
      </c>
    </row>
    <row r="30" ht="15.75" customHeight="1">
      <c r="A30" s="2">
        <v>19.0</v>
      </c>
      <c r="B30" s="2" t="s">
        <v>66</v>
      </c>
      <c r="C30" s="2" t="s">
        <v>112</v>
      </c>
      <c r="D30" s="8">
        <f>VLOOKUP(B30,courses_program1!A:E,4,0)</f>
        <v>-1.365622006</v>
      </c>
      <c r="E30" s="8">
        <f>VLOOKUP(B30,courses_program1!A:E,5,0)</f>
        <v>6.865499001</v>
      </c>
      <c r="F30" s="8">
        <f>VLOOKUP(C30,courses_program1!A:E,4,0)</f>
        <v>0.4877286516</v>
      </c>
      <c r="G30" s="8">
        <f>VLOOKUP(C30,courses_program1!A:E,5,0)</f>
        <v>2.451962635</v>
      </c>
      <c r="H30" s="2">
        <v>1.0</v>
      </c>
      <c r="I30" s="2" t="str">
        <f t="shared" si="1"/>
        <v>S404M221</v>
      </c>
    </row>
    <row r="31" ht="15.75" customHeight="1">
      <c r="A31" s="2">
        <v>20.0</v>
      </c>
      <c r="B31" s="2" t="s">
        <v>66</v>
      </c>
      <c r="C31" s="2" t="s">
        <v>39</v>
      </c>
      <c r="D31" s="8">
        <f>VLOOKUP(B31,courses_program1!A:E,4,0)</f>
        <v>-1.365622006</v>
      </c>
      <c r="E31" s="8">
        <f>VLOOKUP(B31,courses_program1!A:E,5,0)</f>
        <v>6.865499001</v>
      </c>
      <c r="F31" s="8">
        <f>VLOOKUP(C31,courses_program1!A:E,4,0)</f>
        <v>0.4900918911</v>
      </c>
      <c r="G31" s="8">
        <f>VLOOKUP(C31,courses_program1!A:E,5,0)</f>
        <v>4.975923024</v>
      </c>
      <c r="H31" s="2">
        <v>1.0</v>
      </c>
      <c r="I31" s="2" t="str">
        <f t="shared" si="1"/>
        <v>S404S306</v>
      </c>
    </row>
    <row r="32" ht="15.75" customHeight="1">
      <c r="A32" s="2">
        <v>21.0</v>
      </c>
      <c r="B32" s="2" t="s">
        <v>70</v>
      </c>
      <c r="C32" s="2" t="s">
        <v>31</v>
      </c>
      <c r="D32" s="8">
        <f>VLOOKUP(B32,courses_program1!A:E,4,0)</f>
        <v>-2.031982187</v>
      </c>
      <c r="E32" s="8">
        <f>VLOOKUP(B32,courses_program1!A:E,5,0)</f>
        <v>6.698585552</v>
      </c>
      <c r="F32" s="8">
        <f>VLOOKUP(C32,courses_program1!A:E,4,0)</f>
        <v>0.000005307179587</v>
      </c>
      <c r="G32" s="8">
        <f>VLOOKUP(C32,courses_program1!A:E,5,0)</f>
        <v>4</v>
      </c>
      <c r="H32" s="2">
        <v>1.0</v>
      </c>
      <c r="I32" s="2" t="str">
        <f t="shared" si="1"/>
        <v>S405S302</v>
      </c>
    </row>
    <row r="33" ht="15.75" customHeight="1">
      <c r="A33" s="2">
        <v>22.0</v>
      </c>
      <c r="B33" s="2" t="s">
        <v>70</v>
      </c>
      <c r="C33" s="2" t="s">
        <v>36</v>
      </c>
      <c r="D33" s="8">
        <f>VLOOKUP(B33,courses_program1!A:E,4,0)</f>
        <v>-2.031982187</v>
      </c>
      <c r="E33" s="8">
        <f>VLOOKUP(B33,courses_program1!A:E,5,0)</f>
        <v>6.698585552</v>
      </c>
      <c r="F33" s="8">
        <f>VLOOKUP(C33,courses_program1!A:E,4,0)</f>
        <v>-0.9754442903</v>
      </c>
      <c r="G33" s="8">
        <f>VLOOKUP(C33,courses_program1!A:E,5,0)</f>
        <v>4.903927858</v>
      </c>
      <c r="H33" s="2">
        <v>1.0</v>
      </c>
      <c r="I33" s="2" t="str">
        <f t="shared" si="1"/>
        <v>S405S305</v>
      </c>
    </row>
    <row r="34" ht="15.75" customHeight="1">
      <c r="A34" s="2">
        <v>22.0</v>
      </c>
      <c r="B34" s="2" t="s">
        <v>70</v>
      </c>
      <c r="C34" s="2" t="s">
        <v>93</v>
      </c>
      <c r="D34" s="8">
        <f>VLOOKUP(B34,courses_program1!A:E,4,0)</f>
        <v>-2.031982187</v>
      </c>
      <c r="E34" s="8">
        <f>VLOOKUP(B34,courses_program1!A:E,5,0)</f>
        <v>6.698585552</v>
      </c>
      <c r="F34" s="8">
        <f>VLOOKUP(C34,courses_program1!A:E,4,0)</f>
        <v>0.00000796076938</v>
      </c>
      <c r="G34" s="8">
        <f>VLOOKUP(C34,courses_program1!A:E,5,0)</f>
        <v>6</v>
      </c>
      <c r="H34" s="2">
        <v>0.0</v>
      </c>
      <c r="I34" s="2" t="str">
        <f t="shared" si="1"/>
        <v>S405S460</v>
      </c>
    </row>
    <row r="35" ht="15.75" customHeight="1">
      <c r="A35" s="2">
        <v>23.0</v>
      </c>
      <c r="B35" s="2" t="s">
        <v>73</v>
      </c>
      <c r="C35" s="2" t="s">
        <v>39</v>
      </c>
      <c r="D35" s="8">
        <f>VLOOKUP(B35,courses_program1!A:E,4,0)</f>
        <v>-0.6861101618</v>
      </c>
      <c r="E35" s="8">
        <f>VLOOKUP(B35,courses_program1!A:E,5,0)</f>
        <v>6.966294054</v>
      </c>
      <c r="F35" s="8">
        <f>VLOOKUP(C35,courses_program1!A:E,4,0)</f>
        <v>0.4900918911</v>
      </c>
      <c r="G35" s="8">
        <f>VLOOKUP(C35,courses_program1!A:E,5,0)</f>
        <v>4.975923024</v>
      </c>
      <c r="H35" s="2">
        <v>1.0</v>
      </c>
      <c r="I35" s="2" t="str">
        <f t="shared" si="1"/>
        <v>S406S306</v>
      </c>
    </row>
    <row r="36" ht="15.75" customHeight="1">
      <c r="A36" s="2">
        <v>23.0</v>
      </c>
      <c r="B36" s="2" t="s">
        <v>73</v>
      </c>
      <c r="C36" s="2" t="s">
        <v>28</v>
      </c>
      <c r="D36" s="8">
        <f>VLOOKUP(B36,courses_program1!A:E,4,0)</f>
        <v>-0.6861101618</v>
      </c>
      <c r="E36" s="8">
        <f>VLOOKUP(B36,courses_program1!A:E,5,0)</f>
        <v>6.966294054</v>
      </c>
      <c r="F36" s="8">
        <f>VLOOKUP(C36,courses_program1!A:E,4,0)</f>
        <v>-2.121316122</v>
      </c>
      <c r="G36" s="8">
        <f>VLOOKUP(C36,courses_program1!A:E,5,0)</f>
        <v>2.121324565</v>
      </c>
      <c r="H36" s="2">
        <v>0.0</v>
      </c>
      <c r="I36" s="2" t="str">
        <f t="shared" si="1"/>
        <v>S406S301</v>
      </c>
    </row>
    <row r="37" ht="15.75" customHeight="1">
      <c r="A37" s="2">
        <v>23.0</v>
      </c>
      <c r="B37" s="2" t="s">
        <v>73</v>
      </c>
      <c r="C37" s="2" t="s">
        <v>112</v>
      </c>
      <c r="D37" s="8">
        <f>VLOOKUP(B37,courses_program1!A:E,4,0)</f>
        <v>-0.6861101618</v>
      </c>
      <c r="E37" s="8">
        <f>VLOOKUP(B37,courses_program1!A:E,5,0)</f>
        <v>6.966294054</v>
      </c>
      <c r="F37" s="8">
        <f>VLOOKUP(C37,courses_program1!A:E,4,0)</f>
        <v>0.4877286516</v>
      </c>
      <c r="G37" s="8">
        <f>VLOOKUP(C37,courses_program1!A:E,5,0)</f>
        <v>2.451962635</v>
      </c>
      <c r="H37" s="2">
        <v>1.0</v>
      </c>
      <c r="I37" s="2" t="str">
        <f t="shared" si="1"/>
        <v>S406M221</v>
      </c>
    </row>
    <row r="38" ht="15.75" customHeight="1">
      <c r="A38" s="2">
        <v>23.0</v>
      </c>
      <c r="B38" s="2" t="s">
        <v>73</v>
      </c>
      <c r="C38" s="2" t="s">
        <v>31</v>
      </c>
      <c r="D38" s="8">
        <f>VLOOKUP(B38,courses_program1!A:E,4,0)</f>
        <v>-0.6861101618</v>
      </c>
      <c r="E38" s="8">
        <f>VLOOKUP(B38,courses_program1!A:E,5,0)</f>
        <v>6.966294054</v>
      </c>
      <c r="F38" s="8">
        <f>VLOOKUP(C38,courses_program1!A:E,4,0)</f>
        <v>0.000005307179587</v>
      </c>
      <c r="G38" s="8">
        <f>VLOOKUP(C38,courses_program1!A:E,5,0)</f>
        <v>4</v>
      </c>
      <c r="H38" s="2">
        <v>1.0</v>
      </c>
      <c r="I38" s="2" t="str">
        <f t="shared" si="1"/>
        <v>S406S302</v>
      </c>
    </row>
    <row r="39" ht="15.75" customHeight="1">
      <c r="A39" s="2">
        <v>24.0</v>
      </c>
      <c r="B39" s="2" t="s">
        <v>76</v>
      </c>
      <c r="C39" s="2" t="s">
        <v>31</v>
      </c>
      <c r="D39" s="8">
        <f>VLOOKUP(B39,courses_program1!A:E,4,0)</f>
        <v>-0.343464154</v>
      </c>
      <c r="E39" s="8">
        <f>VLOOKUP(B39,courses_program1!A:E,5,0)</f>
        <v>6.991568663</v>
      </c>
      <c r="F39" s="8">
        <f>VLOOKUP(C39,courses_program1!A:E,4,0)</f>
        <v>0.000005307179587</v>
      </c>
      <c r="G39" s="8">
        <f>VLOOKUP(C39,courses_program1!A:E,5,0)</f>
        <v>4</v>
      </c>
      <c r="H39" s="2">
        <v>1.0</v>
      </c>
      <c r="I39" s="2" t="str">
        <f t="shared" si="1"/>
        <v>S443S302</v>
      </c>
    </row>
    <row r="40" ht="15.75" customHeight="1">
      <c r="A40" s="2">
        <v>25.0</v>
      </c>
      <c r="B40" s="2" t="s">
        <v>76</v>
      </c>
      <c r="C40" s="2" t="s">
        <v>6</v>
      </c>
      <c r="D40" s="8">
        <f>VLOOKUP(B40,courses_program1!A:E,4,0)</f>
        <v>-0.343464154</v>
      </c>
      <c r="E40" s="8">
        <f>VLOOKUP(B40,courses_program1!A:E,5,0)</f>
        <v>6.991568663</v>
      </c>
      <c r="F40" s="8">
        <f>VLOOKUP(C40,courses_program1!A:E,4,0)</f>
        <v>0.000002653589793</v>
      </c>
      <c r="G40" s="8">
        <f>VLOOKUP(C40,courses_program1!A:E,5,0)</f>
        <v>2</v>
      </c>
      <c r="H40" s="2">
        <v>1.0</v>
      </c>
      <c r="I40" s="2" t="str">
        <f t="shared" si="1"/>
        <v>S443S200</v>
      </c>
    </row>
    <row r="41" ht="15.75" customHeight="1">
      <c r="A41" s="2">
        <v>25.0</v>
      </c>
      <c r="B41" s="2" t="s">
        <v>76</v>
      </c>
      <c r="C41" s="2" t="s">
        <v>20</v>
      </c>
      <c r="D41" s="8">
        <f>VLOOKUP(B41,courses_program1!A:E,4,0)</f>
        <v>-0.343464154</v>
      </c>
      <c r="E41" s="8">
        <f>VLOOKUP(B41,courses_program1!A:E,5,0)</f>
        <v>6.991568663</v>
      </c>
      <c r="F41" s="8">
        <f>VLOOKUP(C41,courses_program1!A:E,4,0)</f>
        <v>2.121321751</v>
      </c>
      <c r="G41" s="8">
        <f>VLOOKUP(C41,courses_program1!A:E,5,0)</f>
        <v>2.121318936</v>
      </c>
      <c r="H41" s="2">
        <v>0.0</v>
      </c>
      <c r="I41" s="2" t="str">
        <f t="shared" si="1"/>
        <v>S443S251</v>
      </c>
    </row>
    <row r="42" ht="15.75" customHeight="1">
      <c r="A42" s="2">
        <v>25.0</v>
      </c>
      <c r="B42" s="2" t="s">
        <v>76</v>
      </c>
      <c r="C42" s="2" t="s">
        <v>24</v>
      </c>
      <c r="D42" s="8">
        <f>VLOOKUP(B42,courses_program1!A:E,4,0)</f>
        <v>-0.343464154</v>
      </c>
      <c r="E42" s="8">
        <f>VLOOKUP(B42,courses_program1!A:E,5,0)</f>
        <v>6.991568663</v>
      </c>
      <c r="F42" s="8">
        <f>VLOOKUP(C42,courses_program1!A:E,4,0)</f>
        <v>-1.1480457</v>
      </c>
      <c r="G42" s="8">
        <f>VLOOKUP(C42,courses_program1!A:E,5,0)</f>
        <v>2.771640502</v>
      </c>
      <c r="H42" s="2">
        <v>0.0</v>
      </c>
      <c r="I42" s="2" t="str">
        <f t="shared" si="1"/>
        <v>S443S300</v>
      </c>
    </row>
    <row r="43" ht="15.75" customHeight="1">
      <c r="A43" s="2">
        <v>26.0</v>
      </c>
      <c r="B43" s="2" t="s">
        <v>76</v>
      </c>
      <c r="C43" s="2" t="s">
        <v>36</v>
      </c>
      <c r="D43" s="8">
        <f>VLOOKUP(B43,courses_program1!A:E,4,0)</f>
        <v>-0.343464154</v>
      </c>
      <c r="E43" s="8">
        <f>VLOOKUP(B43,courses_program1!A:E,5,0)</f>
        <v>6.991568663</v>
      </c>
      <c r="F43" s="8">
        <f>VLOOKUP(C43,courses_program1!A:E,4,0)</f>
        <v>-0.9754442903</v>
      </c>
      <c r="G43" s="8">
        <f>VLOOKUP(C43,courses_program1!A:E,5,0)</f>
        <v>4.903927858</v>
      </c>
      <c r="H43" s="2">
        <v>1.0</v>
      </c>
      <c r="I43" s="2" t="str">
        <f t="shared" si="1"/>
        <v>S443S305</v>
      </c>
    </row>
    <row r="44" ht="15.75" customHeight="1">
      <c r="A44" s="2">
        <v>27.0</v>
      </c>
      <c r="B44" s="2" t="s">
        <v>79</v>
      </c>
      <c r="C44" s="2" t="s">
        <v>39</v>
      </c>
      <c r="D44" s="8">
        <f>VLOOKUP(B44,courses_program1!A:E,4,0)</f>
        <v>0.6861286475</v>
      </c>
      <c r="E44" s="8">
        <f>VLOOKUP(B44,courses_program1!A:E,5,0)</f>
        <v>6.966292233</v>
      </c>
      <c r="F44" s="8">
        <f>VLOOKUP(C44,courses_program1!A:E,4,0)</f>
        <v>0.4900918911</v>
      </c>
      <c r="G44" s="8">
        <f>VLOOKUP(C44,courses_program1!A:E,5,0)</f>
        <v>4.975923024</v>
      </c>
      <c r="H44" s="2">
        <v>1.0</v>
      </c>
      <c r="I44" s="2" t="str">
        <f t="shared" si="1"/>
        <v>S445S306</v>
      </c>
    </row>
    <row r="45" ht="15.75" customHeight="1">
      <c r="A45" s="2">
        <v>28.0</v>
      </c>
      <c r="B45" s="2" t="s">
        <v>82</v>
      </c>
      <c r="C45" s="2" t="s">
        <v>36</v>
      </c>
      <c r="D45" s="8">
        <f>VLOOKUP(B45,courses_program1!A:E,4,0)</f>
        <v>-2.678773301</v>
      </c>
      <c r="E45" s="8">
        <f>VLOOKUP(B45,courses_program1!A:E,5,0)</f>
        <v>6.46716117</v>
      </c>
      <c r="F45" s="8">
        <f>VLOOKUP(C45,courses_program1!A:E,4,0)</f>
        <v>-0.9754442903</v>
      </c>
      <c r="G45" s="8">
        <f>VLOOKUP(C45,courses_program1!A:E,5,0)</f>
        <v>4.903927858</v>
      </c>
      <c r="H45" s="2">
        <v>1.0</v>
      </c>
      <c r="I45" s="2" t="str">
        <f t="shared" si="1"/>
        <v>S447S305</v>
      </c>
    </row>
    <row r="46" ht="15.75" customHeight="1">
      <c r="A46" s="2">
        <v>30.0</v>
      </c>
      <c r="B46" s="2" t="s">
        <v>90</v>
      </c>
      <c r="C46" s="2" t="s">
        <v>39</v>
      </c>
      <c r="D46" s="8">
        <f>VLOOKUP(B46,courses_program1!A:E,4,0)</f>
        <v>2.031999962</v>
      </c>
      <c r="E46" s="8">
        <f>VLOOKUP(B46,courses_program1!A:E,5,0)</f>
        <v>6.69858016</v>
      </c>
      <c r="F46" s="8">
        <f>VLOOKUP(C46,courses_program1!A:E,4,0)</f>
        <v>0.4900918911</v>
      </c>
      <c r="G46" s="8">
        <f>VLOOKUP(C46,courses_program1!A:E,5,0)</f>
        <v>4.975923024</v>
      </c>
      <c r="H46" s="2">
        <v>1.0</v>
      </c>
      <c r="I46" s="2" t="str">
        <f t="shared" si="1"/>
        <v>S450S306</v>
      </c>
    </row>
    <row r="47" ht="15.75" customHeight="1">
      <c r="A47" s="2">
        <v>31.0</v>
      </c>
      <c r="B47" s="2" t="s">
        <v>93</v>
      </c>
      <c r="C47" s="2" t="s">
        <v>116</v>
      </c>
      <c r="D47" s="8">
        <f>VLOOKUP(B47,courses_program1!A:E,4,0)</f>
        <v>0.00000796076938</v>
      </c>
      <c r="E47" s="8">
        <f>VLOOKUP(B47,courses_program1!A:E,5,0)</f>
        <v>6</v>
      </c>
      <c r="F47" s="8">
        <f>VLOOKUP(C47,courses_program1!A:E,4,0)</f>
        <v>1.530737407</v>
      </c>
      <c r="G47" s="8">
        <f>VLOOKUP(C47,courses_program1!A:E,5,0)</f>
        <v>3.695516607</v>
      </c>
      <c r="H47" s="2">
        <v>1.0</v>
      </c>
      <c r="I47" s="2" t="str">
        <f t="shared" si="1"/>
        <v>S460M320</v>
      </c>
    </row>
    <row r="48" ht="15.75" customHeight="1">
      <c r="A48" s="2">
        <v>32.0</v>
      </c>
      <c r="B48" s="2" t="s">
        <v>93</v>
      </c>
      <c r="C48" s="2" t="s">
        <v>36</v>
      </c>
      <c r="D48" s="8">
        <f>VLOOKUP(B48,courses_program1!A:E,4,0)</f>
        <v>0.00000796076938</v>
      </c>
      <c r="E48" s="8">
        <f>VLOOKUP(B48,courses_program1!A:E,5,0)</f>
        <v>6</v>
      </c>
      <c r="F48" s="8">
        <f>VLOOKUP(C48,courses_program1!A:E,4,0)</f>
        <v>-0.9754442903</v>
      </c>
      <c r="G48" s="8">
        <f>VLOOKUP(C48,courses_program1!A:E,5,0)</f>
        <v>4.903927858</v>
      </c>
      <c r="H48" s="2">
        <v>1.0</v>
      </c>
      <c r="I48" s="2" t="str">
        <f t="shared" si="1"/>
        <v>S460S305</v>
      </c>
    </row>
    <row r="49" ht="15.75" customHeight="1">
      <c r="A49" s="2">
        <v>33.0</v>
      </c>
      <c r="B49" s="2" t="s">
        <v>93</v>
      </c>
      <c r="C49" s="2" t="s">
        <v>112</v>
      </c>
      <c r="D49" s="8">
        <f>VLOOKUP(B49,courses_program1!A:E,4,0)</f>
        <v>0.00000796076938</v>
      </c>
      <c r="E49" s="8">
        <f>VLOOKUP(B49,courses_program1!A:E,5,0)</f>
        <v>6</v>
      </c>
      <c r="F49" s="8">
        <f>VLOOKUP(C49,courses_program1!A:E,4,0)</f>
        <v>0.4877286516</v>
      </c>
      <c r="G49" s="8">
        <f>VLOOKUP(C49,courses_program1!A:E,5,0)</f>
        <v>2.451962635</v>
      </c>
      <c r="H49" s="2">
        <v>1.0</v>
      </c>
      <c r="I49" s="2" t="str">
        <f t="shared" si="1"/>
        <v>S460M221</v>
      </c>
    </row>
    <row r="50" ht="15.75" customHeight="1">
      <c r="A50" s="2">
        <v>34.0</v>
      </c>
      <c r="B50" s="2" t="s">
        <v>97</v>
      </c>
      <c r="C50" s="2" t="s">
        <v>93</v>
      </c>
      <c r="D50" s="8">
        <f>VLOOKUP(B50,courses_program1!A:E,4,0)</f>
        <v>0.3434827068</v>
      </c>
      <c r="E50" s="8">
        <f>VLOOKUP(B50,courses_program1!A:E,5,0)</f>
        <v>6.991567752</v>
      </c>
      <c r="F50" s="8">
        <f>VLOOKUP(C50,courses_program1!A:E,4,0)</f>
        <v>0.00000796076938</v>
      </c>
      <c r="G50" s="8">
        <f>VLOOKUP(C50,courses_program1!A:E,5,0)</f>
        <v>6</v>
      </c>
      <c r="H50" s="2">
        <v>1.0</v>
      </c>
      <c r="I50" s="2" t="str">
        <f t="shared" si="1"/>
        <v>S461S460</v>
      </c>
    </row>
    <row r="51" ht="15.75" customHeight="1">
      <c r="A51" s="2">
        <v>36.0</v>
      </c>
      <c r="B51" s="2" t="s">
        <v>104</v>
      </c>
      <c r="C51" s="2" t="s">
        <v>100</v>
      </c>
      <c r="D51" s="8">
        <f>VLOOKUP(B51,courses_program1!A:E,4,0)</f>
        <v>1.414214501</v>
      </c>
      <c r="E51" s="8">
        <f>VLOOKUP(B51,courses_program1!A:E,5,0)</f>
        <v>1.414212624</v>
      </c>
      <c r="F51" s="8">
        <f>VLOOKUP(C51,courses_program1!A:E,4,0)</f>
        <v>0.000001326794897</v>
      </c>
      <c r="G51" s="8">
        <f>VLOOKUP(C51,courses_program1!A:E,5,0)</f>
        <v>1</v>
      </c>
      <c r="H51" s="2">
        <v>1.0</v>
      </c>
      <c r="I51" s="2" t="str">
        <f t="shared" si="1"/>
        <v>M101M100</v>
      </c>
    </row>
    <row r="52" ht="15.75" customHeight="1">
      <c r="A52" s="2">
        <v>37.0</v>
      </c>
      <c r="B52" s="2" t="s">
        <v>108</v>
      </c>
      <c r="C52" s="2" t="s">
        <v>104</v>
      </c>
      <c r="D52" s="8">
        <f>VLOOKUP(B52,courses_program1!A:E,4,0)</f>
        <v>1.148053055</v>
      </c>
      <c r="E52" s="8">
        <f>VLOOKUP(B52,courses_program1!A:E,5,0)</f>
        <v>2.771637455</v>
      </c>
      <c r="F52" s="8">
        <f>VLOOKUP(C52,courses_program1!A:E,4,0)</f>
        <v>1.414214501</v>
      </c>
      <c r="G52" s="8">
        <f>VLOOKUP(C52,courses_program1!A:E,5,0)</f>
        <v>1.414212624</v>
      </c>
      <c r="H52" s="2">
        <v>1.0</v>
      </c>
      <c r="I52" s="2" t="str">
        <f t="shared" si="1"/>
        <v>M200M101</v>
      </c>
    </row>
    <row r="53" ht="15.75" customHeight="1">
      <c r="A53" s="2">
        <v>38.0</v>
      </c>
      <c r="B53" s="2" t="s">
        <v>112</v>
      </c>
      <c r="C53" s="2" t="s">
        <v>100</v>
      </c>
      <c r="D53" s="8">
        <f>VLOOKUP(B53,courses_program1!A:E,4,0)</f>
        <v>0.4877286516</v>
      </c>
      <c r="E53" s="8">
        <f>VLOOKUP(B53,courses_program1!A:E,5,0)</f>
        <v>2.451962635</v>
      </c>
      <c r="F53" s="8">
        <f>VLOOKUP(C53,courses_program1!A:E,4,0)</f>
        <v>0.000001326794897</v>
      </c>
      <c r="G53" s="8">
        <f>VLOOKUP(C53,courses_program1!A:E,5,0)</f>
        <v>1</v>
      </c>
      <c r="H53" s="2">
        <v>1.0</v>
      </c>
      <c r="I53" s="2" t="str">
        <f t="shared" si="1"/>
        <v>M221M100</v>
      </c>
    </row>
    <row r="54" ht="15.75" customHeight="1">
      <c r="A54" s="2">
        <v>39.0</v>
      </c>
      <c r="B54" s="2" t="s">
        <v>116</v>
      </c>
      <c r="C54" s="2" t="s">
        <v>108</v>
      </c>
      <c r="D54" s="8">
        <f>VLOOKUP(B54,courses_program1!A:E,4,0)</f>
        <v>1.530737407</v>
      </c>
      <c r="E54" s="8">
        <f>VLOOKUP(B54,courses_program1!A:E,5,0)</f>
        <v>3.695516607</v>
      </c>
      <c r="F54" s="8">
        <f>VLOOKUP(C54,courses_program1!A:E,4,0)</f>
        <v>1.148053055</v>
      </c>
      <c r="G54" s="8">
        <f>VLOOKUP(C54,courses_program1!A:E,5,0)</f>
        <v>2.771637455</v>
      </c>
      <c r="H54" s="2">
        <v>1.0</v>
      </c>
      <c r="I54" s="2" t="str">
        <f t="shared" si="1"/>
        <v>M320M200</v>
      </c>
    </row>
    <row r="55" ht="15.75" customHeight="1">
      <c r="A55" s="2">
        <v>41.0</v>
      </c>
      <c r="B55" s="2" t="s">
        <v>122</v>
      </c>
      <c r="C55" s="2" t="s">
        <v>119</v>
      </c>
      <c r="D55" s="8">
        <f>VLOOKUP(B55,courses_program1!A:E,4,0)</f>
        <v>-0.7653638002</v>
      </c>
      <c r="E55" s="8">
        <f>VLOOKUP(B55,courses_program1!A:E,5,0)</f>
        <v>1.847760334</v>
      </c>
      <c r="F55" s="8">
        <f>VLOOKUP(C55,courses_program1!A:E,4,0)</f>
        <v>-0.7071053739</v>
      </c>
      <c r="G55" s="8">
        <f>VLOOKUP(C55,courses_program1!A:E,5,0)</f>
        <v>0.7071081885</v>
      </c>
      <c r="H55" s="2">
        <v>1.0</v>
      </c>
      <c r="I55" s="2" t="str">
        <f t="shared" si="1"/>
        <v>D200D100</v>
      </c>
    </row>
    <row r="56" ht="15.75" customHeight="1">
      <c r="D56" s="8"/>
      <c r="E56" s="8"/>
      <c r="F56" s="8"/>
      <c r="G56" s="8"/>
    </row>
    <row r="57" ht="15.75" customHeight="1">
      <c r="D57" s="8"/>
      <c r="E57" s="8"/>
      <c r="F57" s="8"/>
      <c r="G57" s="8"/>
    </row>
    <row r="58" ht="15.75" customHeight="1">
      <c r="D58" s="8"/>
      <c r="E58" s="8"/>
      <c r="F58" s="8"/>
      <c r="G58" s="8"/>
    </row>
    <row r="59" ht="15.75" customHeight="1">
      <c r="D59" s="8"/>
      <c r="E59" s="8"/>
      <c r="F59" s="8"/>
      <c r="G59" s="8"/>
    </row>
    <row r="60" ht="15.75" customHeight="1">
      <c r="D60" s="8"/>
      <c r="E60" s="8"/>
      <c r="F60" s="8"/>
      <c r="G60" s="8"/>
    </row>
    <row r="61" ht="15.75" customHeight="1">
      <c r="D61" s="8"/>
      <c r="E61" s="8"/>
      <c r="F61" s="8"/>
      <c r="G61" s="8"/>
    </row>
    <row r="62" ht="15.75" customHeight="1">
      <c r="D62" s="8"/>
      <c r="E62" s="8"/>
      <c r="F62" s="8"/>
      <c r="G62" s="8"/>
    </row>
    <row r="63" ht="15.75" customHeight="1">
      <c r="D63" s="8"/>
      <c r="E63" s="8"/>
      <c r="F63" s="8"/>
      <c r="G63" s="8"/>
    </row>
    <row r="64" ht="15.75" customHeight="1">
      <c r="D64" s="8"/>
      <c r="E64" s="8"/>
      <c r="F64" s="8"/>
      <c r="G64" s="8"/>
    </row>
    <row r="65" ht="15.75" customHeight="1">
      <c r="D65" s="8"/>
      <c r="E65" s="8"/>
      <c r="F65" s="8"/>
      <c r="G65" s="8"/>
    </row>
    <row r="66" ht="15.75" customHeight="1">
      <c r="D66" s="8"/>
      <c r="E66" s="8"/>
      <c r="F66" s="8"/>
      <c r="G66" s="8"/>
    </row>
    <row r="67" ht="15.75" customHeight="1">
      <c r="D67" s="8"/>
      <c r="E67" s="8"/>
      <c r="F67" s="8"/>
      <c r="G67" s="8"/>
    </row>
    <row r="68" ht="15.75" customHeight="1">
      <c r="D68" s="8"/>
      <c r="E68" s="8"/>
      <c r="F68" s="8"/>
      <c r="G68" s="8"/>
    </row>
    <row r="69" ht="15.75" customHeight="1">
      <c r="D69" s="8"/>
      <c r="E69" s="8"/>
      <c r="F69" s="8"/>
      <c r="G69" s="8"/>
    </row>
    <row r="70" ht="15.75" customHeight="1">
      <c r="D70" s="8"/>
      <c r="E70" s="8"/>
      <c r="F70" s="8"/>
      <c r="G70" s="8"/>
    </row>
    <row r="71" ht="15.75" customHeight="1">
      <c r="D71" s="8"/>
      <c r="E71" s="8"/>
      <c r="F71" s="8"/>
      <c r="G71" s="8"/>
    </row>
    <row r="72" ht="15.75" customHeight="1">
      <c r="D72" s="8"/>
      <c r="E72" s="8"/>
      <c r="F72" s="8"/>
      <c r="G72" s="8"/>
    </row>
    <row r="73" ht="15.75" customHeight="1">
      <c r="D73" s="8"/>
      <c r="E73" s="8"/>
      <c r="F73" s="8"/>
      <c r="G73" s="8"/>
    </row>
    <row r="74" ht="15.75" customHeight="1">
      <c r="D74" s="8"/>
      <c r="E74" s="8"/>
      <c r="F74" s="8"/>
      <c r="G74" s="8"/>
      <c r="H74" s="11"/>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6" width="10.71"/>
  </cols>
  <sheetData>
    <row r="1">
      <c r="A1" s="1" t="s">
        <v>0</v>
      </c>
      <c r="B1" s="4" t="s">
        <v>184</v>
      </c>
      <c r="C1" s="4" t="s">
        <v>185</v>
      </c>
      <c r="D1" s="4" t="s">
        <v>186</v>
      </c>
      <c r="E1" s="4" t="s">
        <v>187</v>
      </c>
      <c r="F1" s="4" t="s">
        <v>188</v>
      </c>
    </row>
    <row r="2">
      <c r="A2" s="5" t="s">
        <v>6</v>
      </c>
      <c r="B2" s="5">
        <v>2.0</v>
      </c>
      <c r="C2" s="5">
        <v>20.0</v>
      </c>
      <c r="D2" s="8">
        <f t="shared" ref="D2:D32" si="1">B2*COS(C2/32*3.14159)</f>
        <v>-0.7653638002</v>
      </c>
      <c r="E2" s="8">
        <f t="shared" ref="E2:E32" si="2">B2*SIN(C2/32*3.14159)</f>
        <v>1.847760334</v>
      </c>
      <c r="F2" s="4">
        <v>1.0</v>
      </c>
    </row>
    <row r="3">
      <c r="A3" s="5" t="s">
        <v>12</v>
      </c>
      <c r="B3" s="5">
        <v>2.0</v>
      </c>
      <c r="C3" s="5">
        <v>4.0</v>
      </c>
      <c r="D3" s="8">
        <f t="shared" si="1"/>
        <v>1.847759319</v>
      </c>
      <c r="E3" s="8">
        <f t="shared" si="2"/>
        <v>0.7653662518</v>
      </c>
      <c r="F3" s="4">
        <v>1.0</v>
      </c>
    </row>
    <row r="4">
      <c r="A4" s="5" t="s">
        <v>16</v>
      </c>
      <c r="B4" s="5">
        <v>2.0</v>
      </c>
      <c r="C4" s="5">
        <v>24.0</v>
      </c>
      <c r="D4" s="8">
        <f t="shared" si="1"/>
        <v>-1.414210748</v>
      </c>
      <c r="E4" s="8">
        <f t="shared" si="2"/>
        <v>1.414216377</v>
      </c>
      <c r="F4" s="4">
        <v>0.0</v>
      </c>
    </row>
    <row r="5">
      <c r="A5" s="5" t="s">
        <v>20</v>
      </c>
      <c r="B5" s="5">
        <v>2.0</v>
      </c>
      <c r="C5" s="5">
        <v>28.0</v>
      </c>
      <c r="D5" s="8">
        <f t="shared" si="1"/>
        <v>-1.847757288</v>
      </c>
      <c r="E5" s="8">
        <f t="shared" si="2"/>
        <v>0.765371155</v>
      </c>
      <c r="F5" s="4">
        <v>0.0</v>
      </c>
    </row>
    <row r="6">
      <c r="A6" s="5" t="s">
        <v>24</v>
      </c>
      <c r="B6" s="5">
        <v>3.5</v>
      </c>
      <c r="C6" s="5">
        <v>24.0</v>
      </c>
      <c r="D6" s="8">
        <f t="shared" si="1"/>
        <v>-2.474868809</v>
      </c>
      <c r="E6" s="8">
        <f t="shared" si="2"/>
        <v>2.47487866</v>
      </c>
      <c r="F6" s="4">
        <v>0.0</v>
      </c>
    </row>
    <row r="7">
      <c r="A7" s="5" t="s">
        <v>28</v>
      </c>
      <c r="B7" s="5">
        <v>2.0</v>
      </c>
      <c r="C7" s="5">
        <v>8.0</v>
      </c>
      <c r="D7" s="8">
        <f t="shared" si="1"/>
        <v>1.414214501</v>
      </c>
      <c r="E7" s="8">
        <f t="shared" si="2"/>
        <v>1.414212624</v>
      </c>
      <c r="F7" s="4">
        <v>1.0</v>
      </c>
    </row>
    <row r="8">
      <c r="A8" s="5" t="s">
        <v>31</v>
      </c>
      <c r="B8" s="5">
        <v>2.0</v>
      </c>
      <c r="C8" s="5">
        <v>12.0</v>
      </c>
      <c r="D8" s="8">
        <f t="shared" si="1"/>
        <v>0.7653687034</v>
      </c>
      <c r="E8" s="8">
        <f t="shared" si="2"/>
        <v>1.847758303</v>
      </c>
      <c r="F8" s="4">
        <v>1.0</v>
      </c>
    </row>
    <row r="9">
      <c r="A9" s="4" t="s">
        <v>36</v>
      </c>
      <c r="B9" s="4">
        <v>4.0</v>
      </c>
      <c r="C9" s="4">
        <v>12.0</v>
      </c>
      <c r="D9" s="8">
        <f t="shared" si="1"/>
        <v>1.530737407</v>
      </c>
      <c r="E9" s="8">
        <f t="shared" si="2"/>
        <v>3.695516607</v>
      </c>
      <c r="F9" s="4">
        <v>1.0</v>
      </c>
    </row>
    <row r="10">
      <c r="A10" s="4" t="s">
        <v>39</v>
      </c>
      <c r="B10" s="4">
        <v>4.0</v>
      </c>
      <c r="C10" s="4">
        <v>20.0</v>
      </c>
      <c r="D10" s="8">
        <f t="shared" si="1"/>
        <v>-1.5307276</v>
      </c>
      <c r="E10" s="8">
        <f t="shared" si="2"/>
        <v>3.695520669</v>
      </c>
      <c r="F10" s="4">
        <v>1.0</v>
      </c>
    </row>
    <row r="11">
      <c r="A11" s="4" t="s">
        <v>43</v>
      </c>
      <c r="B11" s="4">
        <v>5.0</v>
      </c>
      <c r="C11" s="4">
        <v>24.0</v>
      </c>
      <c r="D11" s="8">
        <f t="shared" si="1"/>
        <v>-3.53552687</v>
      </c>
      <c r="E11" s="8">
        <f t="shared" si="2"/>
        <v>3.535540942</v>
      </c>
      <c r="F11" s="4">
        <v>0.0</v>
      </c>
    </row>
    <row r="12">
      <c r="A12" s="4" t="s">
        <v>48</v>
      </c>
      <c r="B12" s="11">
        <v>5.0</v>
      </c>
      <c r="C12" s="11">
        <v>26.0</v>
      </c>
      <c r="D12" s="8">
        <f t="shared" si="1"/>
        <v>-4.157342072</v>
      </c>
      <c r="E12" s="8">
        <f t="shared" si="2"/>
        <v>2.777860129</v>
      </c>
      <c r="F12" s="4">
        <v>0.0</v>
      </c>
    </row>
    <row r="13">
      <c r="A13" s="4" t="s">
        <v>53</v>
      </c>
      <c r="B13" s="4">
        <v>5.0</v>
      </c>
      <c r="C13" s="4">
        <v>14.0</v>
      </c>
      <c r="D13" s="8">
        <f t="shared" si="1"/>
        <v>0.9754573033</v>
      </c>
      <c r="E13" s="8">
        <f t="shared" si="2"/>
        <v>4.90392527</v>
      </c>
      <c r="F13" s="4">
        <v>0.0</v>
      </c>
    </row>
    <row r="14">
      <c r="A14" s="4" t="s">
        <v>59</v>
      </c>
      <c r="B14" s="4">
        <v>5.0</v>
      </c>
      <c r="C14" s="4">
        <v>28.0</v>
      </c>
      <c r="D14" s="8">
        <f t="shared" si="1"/>
        <v>-4.61939322</v>
      </c>
      <c r="E14" s="8">
        <f t="shared" si="2"/>
        <v>1.913427888</v>
      </c>
      <c r="F14" s="4">
        <v>0.0</v>
      </c>
    </row>
    <row r="15">
      <c r="A15" s="4" t="s">
        <v>63</v>
      </c>
      <c r="B15" s="4">
        <v>3.5</v>
      </c>
      <c r="C15" s="4">
        <v>8.0</v>
      </c>
      <c r="D15" s="8">
        <f t="shared" si="1"/>
        <v>2.474875376</v>
      </c>
      <c r="E15" s="8">
        <f t="shared" si="2"/>
        <v>2.474872092</v>
      </c>
      <c r="F15" s="4">
        <v>0.0</v>
      </c>
    </row>
    <row r="16">
      <c r="A16" s="4" t="s">
        <v>66</v>
      </c>
      <c r="B16" s="4">
        <v>6.0</v>
      </c>
      <c r="C16" s="4">
        <v>16.0</v>
      </c>
      <c r="D16" s="8">
        <f t="shared" si="1"/>
        <v>0.00000796076938</v>
      </c>
      <c r="E16" s="8">
        <f t="shared" si="2"/>
        <v>6</v>
      </c>
      <c r="F16" s="4">
        <v>1.0</v>
      </c>
    </row>
    <row r="17">
      <c r="A17" s="4" t="s">
        <v>70</v>
      </c>
      <c r="B17" s="4">
        <v>6.0</v>
      </c>
      <c r="C17" s="4">
        <v>12.0</v>
      </c>
      <c r="D17" s="8">
        <f t="shared" si="1"/>
        <v>2.29610611</v>
      </c>
      <c r="E17" s="8">
        <f t="shared" si="2"/>
        <v>5.54327491</v>
      </c>
      <c r="F17" s="4">
        <v>0.0</v>
      </c>
    </row>
    <row r="18">
      <c r="A18" s="4" t="s">
        <v>73</v>
      </c>
      <c r="B18" s="4">
        <v>6.0</v>
      </c>
      <c r="C18" s="4">
        <v>20.0</v>
      </c>
      <c r="D18" s="8">
        <f t="shared" si="1"/>
        <v>-2.296091401</v>
      </c>
      <c r="E18" s="8">
        <f t="shared" si="2"/>
        <v>5.543281003</v>
      </c>
      <c r="F18" s="4">
        <v>0.0</v>
      </c>
    </row>
    <row r="19">
      <c r="A19" s="4" t="s">
        <v>76</v>
      </c>
      <c r="B19" s="11">
        <v>7.5</v>
      </c>
      <c r="C19" s="11">
        <v>16.0</v>
      </c>
      <c r="D19" s="8">
        <f t="shared" si="1"/>
        <v>0.000009950961725</v>
      </c>
      <c r="E19" s="8">
        <f t="shared" si="2"/>
        <v>7.5</v>
      </c>
      <c r="F19" s="4">
        <v>0.0</v>
      </c>
    </row>
    <row r="20">
      <c r="A20" s="4" t="s">
        <v>79</v>
      </c>
      <c r="B20" s="11">
        <v>7.5</v>
      </c>
      <c r="C20" s="11">
        <v>24.0</v>
      </c>
      <c r="D20" s="8">
        <f t="shared" si="1"/>
        <v>-5.303290304</v>
      </c>
      <c r="E20" s="8">
        <f t="shared" si="2"/>
        <v>5.303311413</v>
      </c>
      <c r="F20" s="4">
        <v>0.0</v>
      </c>
    </row>
    <row r="21" ht="15.75" customHeight="1">
      <c r="A21" s="4" t="s">
        <v>82</v>
      </c>
      <c r="B21" s="11">
        <v>7.5</v>
      </c>
      <c r="C21" s="4">
        <v>20.0</v>
      </c>
      <c r="D21" s="8">
        <f t="shared" si="1"/>
        <v>-2.870114251</v>
      </c>
      <c r="E21" s="8">
        <f t="shared" si="2"/>
        <v>6.929101254</v>
      </c>
      <c r="F21" s="4">
        <v>0.0</v>
      </c>
    </row>
    <row r="22" ht="15.75" customHeight="1">
      <c r="A22" s="4" t="s">
        <v>86</v>
      </c>
      <c r="B22" s="11">
        <v>7.5</v>
      </c>
      <c r="C22" s="11">
        <v>28.0</v>
      </c>
      <c r="D22" s="8">
        <f t="shared" si="1"/>
        <v>-6.92908983</v>
      </c>
      <c r="E22" s="8">
        <f t="shared" si="2"/>
        <v>2.870141831</v>
      </c>
      <c r="F22" s="4">
        <v>0.0</v>
      </c>
    </row>
    <row r="23" ht="15.75" customHeight="1">
      <c r="A23" s="4" t="s">
        <v>90</v>
      </c>
      <c r="B23" s="11">
        <v>7.5</v>
      </c>
      <c r="C23" s="11">
        <v>12.0</v>
      </c>
      <c r="D23" s="8">
        <f t="shared" si="1"/>
        <v>2.870132638</v>
      </c>
      <c r="E23" s="8">
        <f t="shared" si="2"/>
        <v>6.929093638</v>
      </c>
      <c r="F23" s="4">
        <v>0.0</v>
      </c>
    </row>
    <row r="24" ht="15.75" customHeight="1">
      <c r="A24" s="4" t="s">
        <v>93</v>
      </c>
      <c r="B24" s="11">
        <v>7.5</v>
      </c>
      <c r="C24" s="11">
        <v>8.0</v>
      </c>
      <c r="D24" s="8">
        <f t="shared" si="1"/>
        <v>5.303304377</v>
      </c>
      <c r="E24" s="8">
        <f t="shared" si="2"/>
        <v>5.303297341</v>
      </c>
      <c r="F24" s="4">
        <v>0.0</v>
      </c>
    </row>
    <row r="25" ht="15.75" customHeight="1">
      <c r="A25" s="4" t="s">
        <v>97</v>
      </c>
      <c r="B25" s="11">
        <v>7.5</v>
      </c>
      <c r="C25" s="11">
        <v>4.0</v>
      </c>
      <c r="D25" s="8">
        <f t="shared" si="1"/>
        <v>6.929097446</v>
      </c>
      <c r="E25" s="8">
        <f t="shared" si="2"/>
        <v>2.870123444</v>
      </c>
      <c r="F25" s="4">
        <v>0.0</v>
      </c>
    </row>
    <row r="26" ht="15.75" customHeight="1">
      <c r="A26" s="4" t="s">
        <v>100</v>
      </c>
      <c r="B26" s="11">
        <v>9.0</v>
      </c>
      <c r="C26" s="11">
        <v>4.0</v>
      </c>
      <c r="D26" s="8">
        <f t="shared" si="1"/>
        <v>8.314916935</v>
      </c>
      <c r="E26" s="8">
        <f t="shared" si="2"/>
        <v>3.444148133</v>
      </c>
      <c r="F26" s="4">
        <v>0.0</v>
      </c>
    </row>
    <row r="27" ht="15.75" customHeight="1">
      <c r="A27" s="4" t="s">
        <v>104</v>
      </c>
      <c r="B27" s="11">
        <v>9.0</v>
      </c>
      <c r="C27" s="11">
        <v>8.0</v>
      </c>
      <c r="D27" s="8">
        <f t="shared" si="1"/>
        <v>6.363965253</v>
      </c>
      <c r="E27" s="8">
        <f t="shared" si="2"/>
        <v>6.363956809</v>
      </c>
      <c r="F27" s="4">
        <v>0.0</v>
      </c>
    </row>
    <row r="28" ht="15.75" customHeight="1">
      <c r="A28" s="4" t="s">
        <v>108</v>
      </c>
      <c r="B28" s="11">
        <v>9.0</v>
      </c>
      <c r="C28" s="11">
        <v>12.0</v>
      </c>
      <c r="D28" s="8">
        <f t="shared" si="1"/>
        <v>3.444159165</v>
      </c>
      <c r="E28" s="8">
        <f t="shared" si="2"/>
        <v>8.314912365</v>
      </c>
      <c r="F28" s="4">
        <v>0.0</v>
      </c>
    </row>
    <row r="29" ht="15.75" customHeight="1">
      <c r="A29" s="4" t="s">
        <v>112</v>
      </c>
      <c r="B29" s="11">
        <v>9.0</v>
      </c>
      <c r="C29" s="11">
        <v>16.0</v>
      </c>
      <c r="D29" s="8">
        <f t="shared" si="1"/>
        <v>0.00001194115407</v>
      </c>
      <c r="E29" s="8">
        <f t="shared" si="2"/>
        <v>9</v>
      </c>
      <c r="F29" s="4">
        <v>0.0</v>
      </c>
    </row>
    <row r="30" ht="15.75" customHeight="1">
      <c r="A30" s="4" t="s">
        <v>116</v>
      </c>
      <c r="B30" s="11">
        <v>9.0</v>
      </c>
      <c r="C30" s="11">
        <v>20.0</v>
      </c>
      <c r="D30" s="8">
        <f t="shared" si="1"/>
        <v>-3.444137101</v>
      </c>
      <c r="E30" s="8">
        <f t="shared" si="2"/>
        <v>8.314921505</v>
      </c>
      <c r="F30" s="4">
        <v>0.0</v>
      </c>
    </row>
    <row r="31" ht="15.75" customHeight="1">
      <c r="A31" s="4" t="s">
        <v>119</v>
      </c>
      <c r="B31" s="11">
        <v>9.0</v>
      </c>
      <c r="C31" s="11">
        <v>24.0</v>
      </c>
      <c r="D31" s="8">
        <f t="shared" si="1"/>
        <v>-6.363948365</v>
      </c>
      <c r="E31" s="8">
        <f t="shared" si="2"/>
        <v>6.363973696</v>
      </c>
      <c r="F31" s="4">
        <v>0.0</v>
      </c>
    </row>
    <row r="32" ht="15.75" customHeight="1">
      <c r="A32" s="4" t="s">
        <v>122</v>
      </c>
      <c r="B32" s="11">
        <v>9.0</v>
      </c>
      <c r="C32" s="11">
        <v>28.0</v>
      </c>
      <c r="D32" s="8">
        <f t="shared" si="1"/>
        <v>-8.314907796</v>
      </c>
      <c r="E32" s="8">
        <f t="shared" si="2"/>
        <v>3.444170198</v>
      </c>
      <c r="F32" s="4">
        <v>0.0</v>
      </c>
    </row>
    <row r="33" ht="15.75" customHeight="1">
      <c r="A33" s="4"/>
      <c r="B33" s="4"/>
      <c r="C33" s="4"/>
      <c r="D33" s="13"/>
      <c r="E33" s="13"/>
      <c r="F33" s="4"/>
    </row>
    <row r="34" ht="15.75" customHeight="1">
      <c r="A34" s="4"/>
      <c r="B34" s="4"/>
      <c r="C34" s="4"/>
      <c r="D34" s="13"/>
      <c r="E34" s="13"/>
      <c r="F34" s="4"/>
    </row>
    <row r="35" ht="15.75" customHeight="1">
      <c r="A35" s="4"/>
      <c r="B35" s="4"/>
      <c r="C35" s="4"/>
      <c r="D35" s="13"/>
      <c r="E35" s="13"/>
      <c r="F35" s="4"/>
    </row>
    <row r="36" ht="15.75" customHeight="1">
      <c r="A36" s="4"/>
      <c r="B36" s="4"/>
      <c r="C36" s="4"/>
      <c r="D36" s="13"/>
      <c r="E36" s="13"/>
      <c r="F36" s="4"/>
    </row>
    <row r="37" ht="15.75" customHeight="1">
      <c r="A37" s="4"/>
      <c r="B37" s="4"/>
      <c r="C37" s="4"/>
      <c r="D37" s="13"/>
      <c r="E37" s="13"/>
      <c r="F37" s="4"/>
    </row>
    <row r="38" ht="15.75" customHeight="1">
      <c r="A38" s="4"/>
      <c r="B38" s="4"/>
      <c r="C38" s="4"/>
      <c r="D38" s="13"/>
      <c r="E38" s="13"/>
      <c r="F38" s="4"/>
    </row>
    <row r="39" ht="15.75" customHeight="1">
      <c r="A39" s="4"/>
      <c r="B39" s="11"/>
      <c r="C39" s="11"/>
      <c r="D39" s="13"/>
      <c r="E39" s="13"/>
      <c r="F39" s="4"/>
    </row>
    <row r="40" ht="15.75" customHeight="1">
      <c r="A40" s="4"/>
      <c r="B40" s="11"/>
      <c r="C40" s="11"/>
      <c r="D40" s="13"/>
      <c r="E40" s="13"/>
      <c r="F40" s="4"/>
    </row>
    <row r="41" ht="15.75" customHeight="1">
      <c r="A41" s="4"/>
      <c r="B41" s="4"/>
      <c r="C41" s="4"/>
      <c r="D41" s="13"/>
      <c r="E41" s="13"/>
      <c r="F41" s="4"/>
    </row>
    <row r="42" ht="15.75" customHeight="1">
      <c r="A42" s="4"/>
      <c r="B42" s="4"/>
      <c r="C42" s="4"/>
      <c r="D42" s="13"/>
      <c r="E42" s="13"/>
      <c r="F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2" t="s">
        <v>163</v>
      </c>
      <c r="D1" s="8" t="s">
        <v>189</v>
      </c>
      <c r="E1" s="8" t="s">
        <v>190</v>
      </c>
      <c r="F1" s="8" t="s">
        <v>191</v>
      </c>
      <c r="G1" s="8" t="s">
        <v>192</v>
      </c>
      <c r="H1" s="8" t="s">
        <v>193</v>
      </c>
      <c r="I1" s="8" t="s">
        <v>194</v>
      </c>
    </row>
    <row r="2">
      <c r="A2" s="2">
        <v>1.0</v>
      </c>
      <c r="B2" s="2" t="s">
        <v>6</v>
      </c>
      <c r="C2" s="2" t="s">
        <v>100</v>
      </c>
      <c r="D2" s="8">
        <f>VLOOKUP(B2,courses_program1!A:E,4,0)</f>
        <v>0.000002653589793</v>
      </c>
      <c r="E2" s="8">
        <f>VLOOKUP(B2,courses_program1!A:E,5,0)</f>
        <v>2</v>
      </c>
      <c r="F2" s="8">
        <f>VLOOKUP(C2,courses_program1!A:E,4,0)</f>
        <v>0.000001326794897</v>
      </c>
      <c r="G2" s="8">
        <f>VLOOKUP(C2,courses_program1!A:E,5,0)</f>
        <v>1</v>
      </c>
      <c r="H2" s="2">
        <v>1.0</v>
      </c>
      <c r="I2" s="2" t="str">
        <f t="shared" ref="I2:I55" si="1">CONCAT(B2, C2)</f>
        <v>S200M100</v>
      </c>
    </row>
    <row r="3">
      <c r="A3" s="2">
        <v>2.0</v>
      </c>
      <c r="B3" s="2" t="s">
        <v>12</v>
      </c>
      <c r="C3" s="2" t="s">
        <v>119</v>
      </c>
      <c r="D3" s="8">
        <f>VLOOKUP(B3,courses_program1!A:E,4,0)</f>
        <v>-1.414210748</v>
      </c>
      <c r="E3" s="8">
        <f>VLOOKUP(B3,courses_program1!A:E,5,0)</f>
        <v>1.414216377</v>
      </c>
      <c r="F3" s="8">
        <f>VLOOKUP(C3,courses_program1!A:E,4,0)</f>
        <v>-0.7071053739</v>
      </c>
      <c r="G3" s="8">
        <f>VLOOKUP(C3,courses_program1!A:E,5,0)</f>
        <v>0.7071081885</v>
      </c>
      <c r="H3" s="2">
        <v>1.0</v>
      </c>
      <c r="I3" s="2" t="str">
        <f t="shared" si="1"/>
        <v>S201D100</v>
      </c>
    </row>
    <row r="4">
      <c r="A4" s="2">
        <v>4.0</v>
      </c>
      <c r="B4" s="2" t="s">
        <v>20</v>
      </c>
      <c r="C4" s="2" t="s">
        <v>104</v>
      </c>
      <c r="D4" s="8">
        <f>VLOOKUP(B4,courses_program1!A:E,4,0)</f>
        <v>2.121321751</v>
      </c>
      <c r="E4" s="8">
        <f>VLOOKUP(B4,courses_program1!A:E,5,0)</f>
        <v>2.121318936</v>
      </c>
      <c r="F4" s="8">
        <f>VLOOKUP(C4,courses_program1!A:E,4,0)</f>
        <v>1.414214501</v>
      </c>
      <c r="G4" s="8">
        <f>VLOOKUP(C4,courses_program1!A:E,5,0)</f>
        <v>1.414212624</v>
      </c>
      <c r="H4" s="2">
        <v>1.0</v>
      </c>
      <c r="I4" s="2" t="str">
        <f t="shared" si="1"/>
        <v>S251M101</v>
      </c>
    </row>
    <row r="5">
      <c r="A5" s="2">
        <v>5.0</v>
      </c>
      <c r="B5" s="2" t="s">
        <v>24</v>
      </c>
      <c r="C5" s="2" t="s">
        <v>6</v>
      </c>
      <c r="D5" s="8">
        <f>VLOOKUP(B5,courses_program1!A:E,4,0)</f>
        <v>-1.1480457</v>
      </c>
      <c r="E5" s="8">
        <f>VLOOKUP(B5,courses_program1!A:E,5,0)</f>
        <v>2.771640502</v>
      </c>
      <c r="F5" s="8">
        <f>VLOOKUP(C5,courses_program1!A:E,4,0)</f>
        <v>0.000002653589793</v>
      </c>
      <c r="G5" s="8">
        <f>VLOOKUP(C5,courses_program1!A:E,5,0)</f>
        <v>2</v>
      </c>
      <c r="H5" s="2">
        <v>1.0</v>
      </c>
      <c r="I5" s="2" t="str">
        <f t="shared" si="1"/>
        <v>S300S200</v>
      </c>
    </row>
    <row r="6">
      <c r="A6" s="2">
        <v>5.0</v>
      </c>
      <c r="B6" s="2" t="s">
        <v>24</v>
      </c>
      <c r="C6" s="2" t="s">
        <v>16</v>
      </c>
      <c r="D6" s="8">
        <f>VLOOKUP(B6,courses_program1!A:E,4,0)</f>
        <v>-1.1480457</v>
      </c>
      <c r="E6" s="8">
        <f>VLOOKUP(B6,courses_program1!A:E,5,0)</f>
        <v>2.771640502</v>
      </c>
      <c r="F6" s="8">
        <f>VLOOKUP(C6,courses_program1!A:E,4,0)</f>
        <v>0.7071072503</v>
      </c>
      <c r="G6" s="8">
        <f>VLOOKUP(C6,courses_program1!A:E,5,0)</f>
        <v>0.7071063121</v>
      </c>
      <c r="H6" s="2">
        <v>0.0</v>
      </c>
      <c r="I6" s="2" t="str">
        <f t="shared" si="1"/>
        <v>S300S203</v>
      </c>
    </row>
    <row r="7">
      <c r="A7" s="2">
        <v>5.0</v>
      </c>
      <c r="B7" s="2" t="s">
        <v>24</v>
      </c>
      <c r="C7" s="2" t="s">
        <v>20</v>
      </c>
      <c r="D7" s="8">
        <f>VLOOKUP(B7,courses_program1!A:E,4,0)</f>
        <v>-1.1480457</v>
      </c>
      <c r="E7" s="8">
        <f>VLOOKUP(B7,courses_program1!A:E,5,0)</f>
        <v>2.771640502</v>
      </c>
      <c r="F7" s="8">
        <f>VLOOKUP(C7,courses_program1!A:E,4,0)</f>
        <v>2.121321751</v>
      </c>
      <c r="G7" s="8">
        <f>VLOOKUP(C7,courses_program1!A:E,5,0)</f>
        <v>2.121318936</v>
      </c>
      <c r="H7" s="2">
        <v>0.0</v>
      </c>
      <c r="I7" s="2" t="str">
        <f t="shared" si="1"/>
        <v>S300S251</v>
      </c>
    </row>
    <row r="8">
      <c r="A8" s="2">
        <v>6.0</v>
      </c>
      <c r="B8" s="2" t="s">
        <v>28</v>
      </c>
      <c r="C8" s="2" t="s">
        <v>12</v>
      </c>
      <c r="D8" s="8">
        <f>VLOOKUP(B8,courses_program1!A:E,4,0)</f>
        <v>-2.121316122</v>
      </c>
      <c r="E8" s="8">
        <f>VLOOKUP(B8,courses_program1!A:E,5,0)</f>
        <v>2.121324565</v>
      </c>
      <c r="F8" s="8">
        <f>VLOOKUP(C8,courses_program1!A:E,4,0)</f>
        <v>-1.414210748</v>
      </c>
      <c r="G8" s="8">
        <f>VLOOKUP(C8,courses_program1!A:E,5,0)</f>
        <v>1.414216377</v>
      </c>
      <c r="H8" s="2">
        <v>1.0</v>
      </c>
      <c r="I8" s="2" t="str">
        <f t="shared" si="1"/>
        <v>S301S201</v>
      </c>
    </row>
    <row r="9">
      <c r="A9" s="2">
        <v>7.0</v>
      </c>
      <c r="B9" s="2" t="s">
        <v>28</v>
      </c>
      <c r="C9" s="2" t="s">
        <v>100</v>
      </c>
      <c r="D9" s="8">
        <f>VLOOKUP(B9,courses_program1!A:E,4,0)</f>
        <v>-2.121316122</v>
      </c>
      <c r="E9" s="8">
        <f>VLOOKUP(B9,courses_program1!A:E,5,0)</f>
        <v>2.121324565</v>
      </c>
      <c r="F9" s="8">
        <f>VLOOKUP(C9,courses_program1!A:E,4,0)</f>
        <v>0.000001326794897</v>
      </c>
      <c r="G9" s="8">
        <f>VLOOKUP(C9,courses_program1!A:E,5,0)</f>
        <v>1</v>
      </c>
      <c r="H9" s="2">
        <v>1.0</v>
      </c>
      <c r="I9" s="2" t="str">
        <f t="shared" si="1"/>
        <v>S301M100</v>
      </c>
    </row>
    <row r="10">
      <c r="A10" s="2">
        <v>8.0</v>
      </c>
      <c r="B10" s="2" t="s">
        <v>31</v>
      </c>
      <c r="C10" s="2" t="s">
        <v>108</v>
      </c>
      <c r="D10" s="8">
        <f>VLOOKUP(B10,courses_program1!A:E,4,0)</f>
        <v>0.000005307179587</v>
      </c>
      <c r="E10" s="8">
        <f>VLOOKUP(B10,courses_program1!A:E,5,0)</f>
        <v>4</v>
      </c>
      <c r="F10" s="8">
        <f>VLOOKUP(C10,courses_program1!A:E,4,0)</f>
        <v>1.148053055</v>
      </c>
      <c r="G10" s="8">
        <f>VLOOKUP(C10,courses_program1!A:E,5,0)</f>
        <v>2.771637455</v>
      </c>
      <c r="H10" s="2">
        <v>1.0</v>
      </c>
      <c r="I10" s="2" t="str">
        <f t="shared" si="1"/>
        <v>S302M200</v>
      </c>
    </row>
    <row r="11">
      <c r="A11" s="2">
        <v>9.0</v>
      </c>
      <c r="B11" s="2" t="s">
        <v>36</v>
      </c>
      <c r="C11" s="2" t="s">
        <v>6</v>
      </c>
      <c r="D11" s="8">
        <f>VLOOKUP(B11,courses_program1!A:E,4,0)</f>
        <v>-0.9754442903</v>
      </c>
      <c r="E11" s="8">
        <f>VLOOKUP(B11,courses_program1!A:E,5,0)</f>
        <v>4.903927858</v>
      </c>
      <c r="F11" s="8">
        <f>VLOOKUP(C11,courses_program1!A:E,4,0)</f>
        <v>0.000002653589793</v>
      </c>
      <c r="G11" s="8">
        <f>VLOOKUP(C11,courses_program1!A:E,5,0)</f>
        <v>2</v>
      </c>
      <c r="H11" s="2">
        <v>1.0</v>
      </c>
      <c r="I11" s="2" t="str">
        <f t="shared" si="1"/>
        <v>S305S200</v>
      </c>
    </row>
    <row r="12">
      <c r="A12" s="2">
        <v>9.0</v>
      </c>
      <c r="B12" s="2" t="s">
        <v>36</v>
      </c>
      <c r="C12" s="2" t="s">
        <v>16</v>
      </c>
      <c r="D12" s="8">
        <f>VLOOKUP(B12,courses_program1!A:E,4,0)</f>
        <v>-0.9754442903</v>
      </c>
      <c r="E12" s="8">
        <f>VLOOKUP(B12,courses_program1!A:E,5,0)</f>
        <v>4.903927858</v>
      </c>
      <c r="F12" s="8">
        <f>VLOOKUP(C12,courses_program1!A:E,4,0)</f>
        <v>0.7071072503</v>
      </c>
      <c r="G12" s="8">
        <f>VLOOKUP(C12,courses_program1!A:E,5,0)</f>
        <v>0.7071063121</v>
      </c>
      <c r="H12" s="2">
        <v>0.0</v>
      </c>
      <c r="I12" s="2" t="str">
        <f t="shared" si="1"/>
        <v>S305S203</v>
      </c>
    </row>
    <row r="13">
      <c r="A13" s="2">
        <v>9.0</v>
      </c>
      <c r="B13" s="2" t="s">
        <v>36</v>
      </c>
      <c r="C13" s="2" t="s">
        <v>20</v>
      </c>
      <c r="D13" s="8">
        <f>VLOOKUP(B13,courses_program1!A:E,4,0)</f>
        <v>-0.9754442903</v>
      </c>
      <c r="E13" s="8">
        <f>VLOOKUP(B13,courses_program1!A:E,5,0)</f>
        <v>4.903927858</v>
      </c>
      <c r="F13" s="8">
        <f>VLOOKUP(C13,courses_program1!A:E,4,0)</f>
        <v>2.121321751</v>
      </c>
      <c r="G13" s="8">
        <f>VLOOKUP(C13,courses_program1!A:E,5,0)</f>
        <v>2.121318936</v>
      </c>
      <c r="H13" s="2">
        <v>0.0</v>
      </c>
      <c r="I13" s="2" t="str">
        <f t="shared" si="1"/>
        <v>S305S251</v>
      </c>
    </row>
    <row r="14">
      <c r="A14" s="2">
        <v>9.0</v>
      </c>
      <c r="B14" s="2" t="s">
        <v>36</v>
      </c>
      <c r="C14" s="2" t="s">
        <v>31</v>
      </c>
      <c r="D14" s="8">
        <f>VLOOKUP(B14,courses_program1!A:E,4,0)</f>
        <v>-0.9754442903</v>
      </c>
      <c r="E14" s="8">
        <f>VLOOKUP(B14,courses_program1!A:E,5,0)</f>
        <v>4.903927858</v>
      </c>
      <c r="F14" s="8">
        <f>VLOOKUP(C14,courses_program1!A:E,4,0)</f>
        <v>0.000005307179587</v>
      </c>
      <c r="G14" s="8">
        <f>VLOOKUP(C14,courses_program1!A:E,5,0)</f>
        <v>4</v>
      </c>
      <c r="H14" s="2">
        <v>1.0</v>
      </c>
      <c r="I14" s="2" t="str">
        <f t="shared" si="1"/>
        <v>S305S302</v>
      </c>
    </row>
    <row r="15">
      <c r="A15" s="2">
        <v>9.0</v>
      </c>
      <c r="B15" s="2" t="s">
        <v>36</v>
      </c>
      <c r="C15" s="2" t="s">
        <v>12</v>
      </c>
      <c r="D15" s="8">
        <f>VLOOKUP(B15,courses_program1!A:E,4,0)</f>
        <v>-0.9754442903</v>
      </c>
      <c r="E15" s="8">
        <f>VLOOKUP(B15,courses_program1!A:E,5,0)</f>
        <v>4.903927858</v>
      </c>
      <c r="F15" s="8">
        <f>VLOOKUP(C15,courses_program1!A:E,4,0)</f>
        <v>-1.414210748</v>
      </c>
      <c r="G15" s="8">
        <f>VLOOKUP(C15,courses_program1!A:E,5,0)</f>
        <v>1.414216377</v>
      </c>
      <c r="H15" s="2">
        <v>1.0</v>
      </c>
      <c r="I15" s="2" t="str">
        <f t="shared" si="1"/>
        <v>S305S201</v>
      </c>
    </row>
    <row r="16">
      <c r="A16" s="2">
        <v>9.0</v>
      </c>
      <c r="B16" s="2" t="s">
        <v>36</v>
      </c>
      <c r="C16" s="2" t="s">
        <v>122</v>
      </c>
      <c r="D16" s="8">
        <f>VLOOKUP(B16,courses_program1!A:E,4,0)</f>
        <v>-0.9754442903</v>
      </c>
      <c r="E16" s="8">
        <f>VLOOKUP(B16,courses_program1!A:E,5,0)</f>
        <v>4.903927858</v>
      </c>
      <c r="F16" s="8">
        <f>VLOOKUP(C16,courses_program1!A:E,4,0)</f>
        <v>-0.7653638002</v>
      </c>
      <c r="G16" s="8">
        <f>VLOOKUP(C16,courses_program1!A:E,5,0)</f>
        <v>1.847760334</v>
      </c>
      <c r="H16" s="2">
        <v>1.0</v>
      </c>
      <c r="I16" s="2" t="str">
        <f t="shared" si="1"/>
        <v>S305D200</v>
      </c>
    </row>
    <row r="17">
      <c r="A17" s="2">
        <v>10.0</v>
      </c>
      <c r="B17" s="2" t="s">
        <v>39</v>
      </c>
      <c r="C17" s="2" t="s">
        <v>112</v>
      </c>
      <c r="D17" s="8">
        <f>VLOOKUP(B17,courses_program1!A:E,4,0)</f>
        <v>0.4900918911</v>
      </c>
      <c r="E17" s="8">
        <f>VLOOKUP(B17,courses_program1!A:E,5,0)</f>
        <v>4.975923024</v>
      </c>
      <c r="F17" s="8">
        <f>VLOOKUP(C17,courses_program1!A:E,4,0)</f>
        <v>0.4877286516</v>
      </c>
      <c r="G17" s="8">
        <f>VLOOKUP(C17,courses_program1!A:E,5,0)</f>
        <v>2.451962635</v>
      </c>
      <c r="H17" s="2">
        <v>1.0</v>
      </c>
      <c r="I17" s="2" t="str">
        <f t="shared" si="1"/>
        <v>S306M221</v>
      </c>
    </row>
    <row r="18">
      <c r="A18" s="2">
        <v>11.0</v>
      </c>
      <c r="B18" s="2" t="s">
        <v>39</v>
      </c>
      <c r="C18" s="2" t="s">
        <v>6</v>
      </c>
      <c r="D18" s="8">
        <f>VLOOKUP(B18,courses_program1!A:E,4,0)</f>
        <v>0.4900918911</v>
      </c>
      <c r="E18" s="8">
        <f>VLOOKUP(B18,courses_program1!A:E,5,0)</f>
        <v>4.975923024</v>
      </c>
      <c r="F18" s="8">
        <f>VLOOKUP(C18,courses_program1!A:E,4,0)</f>
        <v>0.000002653589793</v>
      </c>
      <c r="G18" s="8">
        <f>VLOOKUP(C18,courses_program1!A:E,5,0)</f>
        <v>2</v>
      </c>
      <c r="H18" s="2">
        <v>1.0</v>
      </c>
      <c r="I18" s="2" t="str">
        <f t="shared" si="1"/>
        <v>S306S200</v>
      </c>
    </row>
    <row r="19">
      <c r="A19" s="2">
        <v>11.0</v>
      </c>
      <c r="B19" s="2" t="s">
        <v>39</v>
      </c>
      <c r="C19" s="2" t="s">
        <v>20</v>
      </c>
      <c r="D19" s="8">
        <f>VLOOKUP(B19,courses_program1!A:E,4,0)</f>
        <v>0.4900918911</v>
      </c>
      <c r="E19" s="8">
        <f>VLOOKUP(B19,courses_program1!A:E,5,0)</f>
        <v>4.975923024</v>
      </c>
      <c r="F19" s="8">
        <f>VLOOKUP(C19,courses_program1!A:E,4,0)</f>
        <v>2.121321751</v>
      </c>
      <c r="G19" s="8">
        <f>VLOOKUP(C19,courses_program1!A:E,5,0)</f>
        <v>2.121318936</v>
      </c>
      <c r="H19" s="2">
        <v>0.0</v>
      </c>
      <c r="I19" s="2" t="str">
        <f t="shared" si="1"/>
        <v>S306S251</v>
      </c>
    </row>
    <row r="20">
      <c r="A20" s="2">
        <v>11.0</v>
      </c>
      <c r="B20" s="2" t="s">
        <v>39</v>
      </c>
      <c r="C20" s="2" t="s">
        <v>24</v>
      </c>
      <c r="D20" s="8">
        <f>VLOOKUP(B20,courses_program1!A:E,4,0)</f>
        <v>0.4900918911</v>
      </c>
      <c r="E20" s="8">
        <f>VLOOKUP(B20,courses_program1!A:E,5,0)</f>
        <v>4.975923024</v>
      </c>
      <c r="F20" s="8">
        <f>VLOOKUP(C20,courses_program1!A:E,4,0)</f>
        <v>-1.1480457</v>
      </c>
      <c r="G20" s="8">
        <f>VLOOKUP(C20,courses_program1!A:E,5,0)</f>
        <v>2.771640502</v>
      </c>
      <c r="H20" s="2">
        <v>0.0</v>
      </c>
      <c r="I20" s="2" t="str">
        <f t="shared" si="1"/>
        <v>S306S300</v>
      </c>
    </row>
    <row r="21" ht="15.75" customHeight="1">
      <c r="A21" s="2">
        <v>12.0</v>
      </c>
      <c r="B21" s="2" t="s">
        <v>39</v>
      </c>
      <c r="C21" s="2" t="s">
        <v>31</v>
      </c>
      <c r="D21" s="8">
        <f>VLOOKUP(B21,courses_program1!A:E,4,0)</f>
        <v>0.4900918911</v>
      </c>
      <c r="E21" s="8">
        <f>VLOOKUP(B21,courses_program1!A:E,5,0)</f>
        <v>4.975923024</v>
      </c>
      <c r="F21" s="8">
        <f>VLOOKUP(C21,courses_program1!A:E,4,0)</f>
        <v>0.000005307179587</v>
      </c>
      <c r="G21" s="8">
        <f>VLOOKUP(C21,courses_program1!A:E,5,0)</f>
        <v>4</v>
      </c>
      <c r="H21" s="2">
        <v>1.0</v>
      </c>
      <c r="I21" s="2" t="str">
        <f t="shared" si="1"/>
        <v>S306S302</v>
      </c>
    </row>
    <row r="22" ht="15.75" customHeight="1">
      <c r="A22" s="2">
        <v>13.0</v>
      </c>
      <c r="B22" s="2" t="s">
        <v>43</v>
      </c>
      <c r="C22" s="2" t="s">
        <v>39</v>
      </c>
      <c r="D22" s="8">
        <f>VLOOKUP(B22,courses_program1!A:E,4,0)</f>
        <v>1.170548764</v>
      </c>
      <c r="E22" s="8">
        <f>VLOOKUP(B22,courses_program1!A:E,5,0)</f>
        <v>5.884710323</v>
      </c>
      <c r="F22" s="8">
        <f>VLOOKUP(C22,courses_program1!A:E,4,0)</f>
        <v>0.4900918911</v>
      </c>
      <c r="G22" s="8">
        <f>VLOOKUP(C22,courses_program1!A:E,5,0)</f>
        <v>4.975923024</v>
      </c>
      <c r="H22" s="2">
        <v>1.0</v>
      </c>
      <c r="I22" s="2" t="str">
        <f t="shared" si="1"/>
        <v>S307S306</v>
      </c>
    </row>
    <row r="23" ht="15.75" customHeight="1">
      <c r="A23" s="2">
        <v>14.0</v>
      </c>
      <c r="B23" s="2" t="s">
        <v>53</v>
      </c>
      <c r="C23" s="2" t="s">
        <v>36</v>
      </c>
      <c r="D23" s="8">
        <f>VLOOKUP(B23,courses_program1!A:E,4,0)</f>
        <v>-1.314598581</v>
      </c>
      <c r="E23" s="8">
        <f>VLOOKUP(B23,courses_program1!A:E,5,0)</f>
        <v>5.85421477</v>
      </c>
      <c r="F23" s="8">
        <f>VLOOKUP(C23,courses_program1!A:E,4,0)</f>
        <v>-0.9754442903</v>
      </c>
      <c r="G23" s="8">
        <f>VLOOKUP(C23,courses_program1!A:E,5,0)</f>
        <v>4.903927858</v>
      </c>
      <c r="H23" s="2">
        <v>1.0</v>
      </c>
      <c r="I23" s="2" t="str">
        <f t="shared" si="1"/>
        <v>S321S305</v>
      </c>
    </row>
    <row r="24" ht="15.75" customHeight="1">
      <c r="A24" s="2">
        <v>15.0</v>
      </c>
      <c r="B24" s="2" t="s">
        <v>59</v>
      </c>
      <c r="C24" s="2" t="s">
        <v>6</v>
      </c>
      <c r="D24" s="8">
        <f>VLOOKUP(B24,courses_program1!A:E,4,0)</f>
        <v>-0.5852665742</v>
      </c>
      <c r="E24" s="8">
        <f>VLOOKUP(B24,courses_program1!A:E,5,0)</f>
        <v>2.942356715</v>
      </c>
      <c r="F24" s="8">
        <f>VLOOKUP(C24,courses_program1!A:E,4,0)</f>
        <v>0.000002653589793</v>
      </c>
      <c r="G24" s="8">
        <f>VLOOKUP(C24,courses_program1!A:E,5,0)</f>
        <v>2</v>
      </c>
      <c r="H24" s="2">
        <v>1.0</v>
      </c>
      <c r="I24" s="2" t="str">
        <f t="shared" si="1"/>
        <v>S335S200</v>
      </c>
    </row>
    <row r="25" ht="15.75" customHeight="1">
      <c r="A25" s="2">
        <v>15.0</v>
      </c>
      <c r="B25" s="2" t="s">
        <v>59</v>
      </c>
      <c r="C25" s="2" t="s">
        <v>20</v>
      </c>
      <c r="D25" s="8">
        <f>VLOOKUP(B25,courses_program1!A:E,4,0)</f>
        <v>-0.5852665742</v>
      </c>
      <c r="E25" s="8">
        <f>VLOOKUP(B25,courses_program1!A:E,5,0)</f>
        <v>2.942356715</v>
      </c>
      <c r="F25" s="8">
        <f>VLOOKUP(C25,courses_program1!A:E,4,0)</f>
        <v>2.121321751</v>
      </c>
      <c r="G25" s="8">
        <f>VLOOKUP(C25,courses_program1!A:E,5,0)</f>
        <v>2.121318936</v>
      </c>
      <c r="H25" s="2">
        <v>0.0</v>
      </c>
      <c r="I25" s="2" t="str">
        <f t="shared" si="1"/>
        <v>S335S251</v>
      </c>
    </row>
    <row r="26" ht="15.75" customHeight="1">
      <c r="A26" s="2">
        <v>16.0</v>
      </c>
      <c r="B26" s="2" t="s">
        <v>63</v>
      </c>
      <c r="C26" s="2" t="s">
        <v>6</v>
      </c>
      <c r="D26" s="8">
        <f>VLOOKUP(B26,courses_program1!A:E,4,0)</f>
        <v>0.9754573033</v>
      </c>
      <c r="E26" s="8">
        <f>VLOOKUP(B26,courses_program1!A:E,5,0)</f>
        <v>4.90392527</v>
      </c>
      <c r="F26" s="8">
        <f>VLOOKUP(C26,courses_program1!A:E,4,0)</f>
        <v>0.000002653589793</v>
      </c>
      <c r="G26" s="8">
        <f>VLOOKUP(C26,courses_program1!A:E,5,0)</f>
        <v>2</v>
      </c>
      <c r="H26" s="2">
        <v>1.0</v>
      </c>
      <c r="I26" s="2" t="str">
        <f t="shared" si="1"/>
        <v>S344S200</v>
      </c>
    </row>
    <row r="27" ht="15.75" customHeight="1">
      <c r="A27" s="2">
        <v>16.0</v>
      </c>
      <c r="B27" s="2" t="s">
        <v>63</v>
      </c>
      <c r="C27" s="2" t="s">
        <v>20</v>
      </c>
      <c r="D27" s="8">
        <f>VLOOKUP(B27,courses_program1!A:E,4,0)</f>
        <v>0.9754573033</v>
      </c>
      <c r="E27" s="8">
        <f>VLOOKUP(B27,courses_program1!A:E,5,0)</f>
        <v>4.90392527</v>
      </c>
      <c r="F27" s="8">
        <f>VLOOKUP(C27,courses_program1!A:E,4,0)</f>
        <v>2.121321751</v>
      </c>
      <c r="G27" s="8">
        <f>VLOOKUP(C27,courses_program1!A:E,5,0)</f>
        <v>2.121318936</v>
      </c>
      <c r="H27" s="2">
        <v>0.0</v>
      </c>
      <c r="I27" s="2" t="str">
        <f t="shared" si="1"/>
        <v>S344S251</v>
      </c>
    </row>
    <row r="28" ht="15.75" customHeight="1">
      <c r="A28" s="2">
        <v>17.0</v>
      </c>
      <c r="B28" s="2" t="s">
        <v>63</v>
      </c>
      <c r="C28" s="2" t="s">
        <v>31</v>
      </c>
      <c r="D28" s="8">
        <f>VLOOKUP(B28,courses_program1!A:E,4,0)</f>
        <v>0.9754573033</v>
      </c>
      <c r="E28" s="8">
        <f>VLOOKUP(B28,courses_program1!A:E,5,0)</f>
        <v>4.90392527</v>
      </c>
      <c r="F28" s="8">
        <f>VLOOKUP(C28,courses_program1!A:E,4,0)</f>
        <v>0.000005307179587</v>
      </c>
      <c r="G28" s="8">
        <f>VLOOKUP(C28,courses_program1!A:E,5,0)</f>
        <v>4</v>
      </c>
      <c r="H28" s="2">
        <v>1.0</v>
      </c>
      <c r="I28" s="2" t="str">
        <f t="shared" si="1"/>
        <v>S344S302</v>
      </c>
    </row>
    <row r="29" ht="15.75" customHeight="1">
      <c r="A29" s="2">
        <v>18.0</v>
      </c>
      <c r="B29" s="2" t="s">
        <v>66</v>
      </c>
      <c r="C29" s="2" t="s">
        <v>36</v>
      </c>
      <c r="D29" s="8">
        <f>VLOOKUP(B29,courses_program1!A:E,4,0)</f>
        <v>-1.365622006</v>
      </c>
      <c r="E29" s="8">
        <f>VLOOKUP(B29,courses_program1!A:E,5,0)</f>
        <v>6.865499001</v>
      </c>
      <c r="F29" s="8">
        <f>VLOOKUP(C29,courses_program1!A:E,4,0)</f>
        <v>-0.9754442903</v>
      </c>
      <c r="G29" s="8">
        <f>VLOOKUP(C29,courses_program1!A:E,5,0)</f>
        <v>4.903927858</v>
      </c>
      <c r="H29" s="2">
        <v>1.0</v>
      </c>
      <c r="I29" s="2" t="str">
        <f t="shared" si="1"/>
        <v>S404S305</v>
      </c>
    </row>
    <row r="30" ht="15.75" customHeight="1">
      <c r="A30" s="2">
        <v>19.0</v>
      </c>
      <c r="B30" s="2" t="s">
        <v>66</v>
      </c>
      <c r="C30" s="2" t="s">
        <v>112</v>
      </c>
      <c r="D30" s="8">
        <f>VLOOKUP(B30,courses_program1!A:E,4,0)</f>
        <v>-1.365622006</v>
      </c>
      <c r="E30" s="8">
        <f>VLOOKUP(B30,courses_program1!A:E,5,0)</f>
        <v>6.865499001</v>
      </c>
      <c r="F30" s="8">
        <f>VLOOKUP(C30,courses_program1!A:E,4,0)</f>
        <v>0.4877286516</v>
      </c>
      <c r="G30" s="8">
        <f>VLOOKUP(C30,courses_program1!A:E,5,0)</f>
        <v>2.451962635</v>
      </c>
      <c r="H30" s="2">
        <v>1.0</v>
      </c>
      <c r="I30" s="2" t="str">
        <f t="shared" si="1"/>
        <v>S404M221</v>
      </c>
    </row>
    <row r="31" ht="15.75" customHeight="1">
      <c r="A31" s="2">
        <v>20.0</v>
      </c>
      <c r="B31" s="2" t="s">
        <v>66</v>
      </c>
      <c r="C31" s="2" t="s">
        <v>39</v>
      </c>
      <c r="D31" s="8">
        <f>VLOOKUP(B31,courses_program1!A:E,4,0)</f>
        <v>-1.365622006</v>
      </c>
      <c r="E31" s="8">
        <f>VLOOKUP(B31,courses_program1!A:E,5,0)</f>
        <v>6.865499001</v>
      </c>
      <c r="F31" s="8">
        <f>VLOOKUP(C31,courses_program1!A:E,4,0)</f>
        <v>0.4900918911</v>
      </c>
      <c r="G31" s="8">
        <f>VLOOKUP(C31,courses_program1!A:E,5,0)</f>
        <v>4.975923024</v>
      </c>
      <c r="H31" s="2">
        <v>1.0</v>
      </c>
      <c r="I31" s="2" t="str">
        <f t="shared" si="1"/>
        <v>S404S306</v>
      </c>
    </row>
    <row r="32" ht="15.75" customHeight="1">
      <c r="A32" s="2">
        <v>21.0</v>
      </c>
      <c r="B32" s="2" t="s">
        <v>70</v>
      </c>
      <c r="C32" s="2" t="s">
        <v>31</v>
      </c>
      <c r="D32" s="8">
        <f>VLOOKUP(B32,courses_program1!A:E,4,0)</f>
        <v>-2.031982187</v>
      </c>
      <c r="E32" s="8">
        <f>VLOOKUP(B32,courses_program1!A:E,5,0)</f>
        <v>6.698585552</v>
      </c>
      <c r="F32" s="8">
        <f>VLOOKUP(C32,courses_program1!A:E,4,0)</f>
        <v>0.000005307179587</v>
      </c>
      <c r="G32" s="8">
        <f>VLOOKUP(C32,courses_program1!A:E,5,0)</f>
        <v>4</v>
      </c>
      <c r="H32" s="2">
        <v>1.0</v>
      </c>
      <c r="I32" s="2" t="str">
        <f t="shared" si="1"/>
        <v>S405S302</v>
      </c>
    </row>
    <row r="33" ht="15.75" customHeight="1">
      <c r="A33" s="2">
        <v>22.0</v>
      </c>
      <c r="B33" s="2" t="s">
        <v>70</v>
      </c>
      <c r="C33" s="2" t="s">
        <v>36</v>
      </c>
      <c r="D33" s="8">
        <f>VLOOKUP(B33,courses_program1!A:E,4,0)</f>
        <v>-2.031982187</v>
      </c>
      <c r="E33" s="8">
        <f>VLOOKUP(B33,courses_program1!A:E,5,0)</f>
        <v>6.698585552</v>
      </c>
      <c r="F33" s="8">
        <f>VLOOKUP(C33,courses_program1!A:E,4,0)</f>
        <v>-0.9754442903</v>
      </c>
      <c r="G33" s="8">
        <f>VLOOKUP(C33,courses_program1!A:E,5,0)</f>
        <v>4.903927858</v>
      </c>
      <c r="H33" s="2">
        <v>1.0</v>
      </c>
      <c r="I33" s="2" t="str">
        <f t="shared" si="1"/>
        <v>S405S305</v>
      </c>
    </row>
    <row r="34" ht="15.75" customHeight="1">
      <c r="A34" s="2">
        <v>22.0</v>
      </c>
      <c r="B34" s="2" t="s">
        <v>70</v>
      </c>
      <c r="C34" s="2" t="s">
        <v>93</v>
      </c>
      <c r="D34" s="8">
        <f>VLOOKUP(B34,courses_program1!A:E,4,0)</f>
        <v>-2.031982187</v>
      </c>
      <c r="E34" s="8">
        <f>VLOOKUP(B34,courses_program1!A:E,5,0)</f>
        <v>6.698585552</v>
      </c>
      <c r="F34" s="8">
        <f>VLOOKUP(C34,courses_program1!A:E,4,0)</f>
        <v>0.00000796076938</v>
      </c>
      <c r="G34" s="8">
        <f>VLOOKUP(C34,courses_program1!A:E,5,0)</f>
        <v>6</v>
      </c>
      <c r="H34" s="2">
        <v>0.0</v>
      </c>
      <c r="I34" s="2" t="str">
        <f t="shared" si="1"/>
        <v>S405S460</v>
      </c>
    </row>
    <row r="35" ht="15.75" customHeight="1">
      <c r="A35" s="2">
        <v>23.0</v>
      </c>
      <c r="B35" s="2" t="s">
        <v>73</v>
      </c>
      <c r="C35" s="2" t="s">
        <v>39</v>
      </c>
      <c r="D35" s="8">
        <f>VLOOKUP(B35,courses_program1!A:E,4,0)</f>
        <v>-0.6861101618</v>
      </c>
      <c r="E35" s="8">
        <f>VLOOKUP(B35,courses_program1!A:E,5,0)</f>
        <v>6.966294054</v>
      </c>
      <c r="F35" s="8">
        <f>VLOOKUP(C35,courses_program1!A:E,4,0)</f>
        <v>0.4900918911</v>
      </c>
      <c r="G35" s="8">
        <f>VLOOKUP(C35,courses_program1!A:E,5,0)</f>
        <v>4.975923024</v>
      </c>
      <c r="H35" s="2">
        <v>1.0</v>
      </c>
      <c r="I35" s="2" t="str">
        <f t="shared" si="1"/>
        <v>S406S306</v>
      </c>
    </row>
    <row r="36" ht="15.75" customHeight="1">
      <c r="A36" s="2">
        <v>23.0</v>
      </c>
      <c r="B36" s="2" t="s">
        <v>73</v>
      </c>
      <c r="C36" s="2" t="s">
        <v>28</v>
      </c>
      <c r="D36" s="8">
        <f>VLOOKUP(B36,courses_program1!A:E,4,0)</f>
        <v>-0.6861101618</v>
      </c>
      <c r="E36" s="8">
        <f>VLOOKUP(B36,courses_program1!A:E,5,0)</f>
        <v>6.966294054</v>
      </c>
      <c r="F36" s="8">
        <f>VLOOKUP(C36,courses_program1!A:E,4,0)</f>
        <v>-2.121316122</v>
      </c>
      <c r="G36" s="8">
        <f>VLOOKUP(C36,courses_program1!A:E,5,0)</f>
        <v>2.121324565</v>
      </c>
      <c r="H36" s="2">
        <v>0.0</v>
      </c>
      <c r="I36" s="2" t="str">
        <f t="shared" si="1"/>
        <v>S406S301</v>
      </c>
    </row>
    <row r="37" ht="15.75" customHeight="1">
      <c r="A37" s="2">
        <v>23.0</v>
      </c>
      <c r="B37" s="2" t="s">
        <v>73</v>
      </c>
      <c r="C37" s="2" t="s">
        <v>112</v>
      </c>
      <c r="D37" s="8">
        <f>VLOOKUP(B37,courses_program1!A:E,4,0)</f>
        <v>-0.6861101618</v>
      </c>
      <c r="E37" s="8">
        <f>VLOOKUP(B37,courses_program1!A:E,5,0)</f>
        <v>6.966294054</v>
      </c>
      <c r="F37" s="8">
        <f>VLOOKUP(C37,courses_program1!A:E,4,0)</f>
        <v>0.4877286516</v>
      </c>
      <c r="G37" s="8">
        <f>VLOOKUP(C37,courses_program1!A:E,5,0)</f>
        <v>2.451962635</v>
      </c>
      <c r="H37" s="2">
        <v>1.0</v>
      </c>
      <c r="I37" s="2" t="str">
        <f t="shared" si="1"/>
        <v>S406M221</v>
      </c>
    </row>
    <row r="38" ht="15.75" customHeight="1">
      <c r="A38" s="2">
        <v>23.0</v>
      </c>
      <c r="B38" s="2" t="s">
        <v>73</v>
      </c>
      <c r="C38" s="2" t="s">
        <v>31</v>
      </c>
      <c r="D38" s="8">
        <f>VLOOKUP(B38,courses_program1!A:E,4,0)</f>
        <v>-0.6861101618</v>
      </c>
      <c r="E38" s="8">
        <f>VLOOKUP(B38,courses_program1!A:E,5,0)</f>
        <v>6.966294054</v>
      </c>
      <c r="F38" s="8">
        <f>VLOOKUP(C38,courses_program1!A:E,4,0)</f>
        <v>0.000005307179587</v>
      </c>
      <c r="G38" s="8">
        <f>VLOOKUP(C38,courses_program1!A:E,5,0)</f>
        <v>4</v>
      </c>
      <c r="H38" s="2">
        <v>1.0</v>
      </c>
      <c r="I38" s="2" t="str">
        <f t="shared" si="1"/>
        <v>S406S302</v>
      </c>
    </row>
    <row r="39" ht="15.75" customHeight="1">
      <c r="A39" s="2">
        <v>24.0</v>
      </c>
      <c r="B39" s="2" t="s">
        <v>76</v>
      </c>
      <c r="C39" s="2" t="s">
        <v>31</v>
      </c>
      <c r="D39" s="8">
        <f>VLOOKUP(B39,courses_program1!A:E,4,0)</f>
        <v>-0.343464154</v>
      </c>
      <c r="E39" s="8">
        <f>VLOOKUP(B39,courses_program1!A:E,5,0)</f>
        <v>6.991568663</v>
      </c>
      <c r="F39" s="8">
        <f>VLOOKUP(C39,courses_program1!A:E,4,0)</f>
        <v>0.000005307179587</v>
      </c>
      <c r="G39" s="8">
        <f>VLOOKUP(C39,courses_program1!A:E,5,0)</f>
        <v>4</v>
      </c>
      <c r="H39" s="2">
        <v>1.0</v>
      </c>
      <c r="I39" s="2" t="str">
        <f t="shared" si="1"/>
        <v>S443S302</v>
      </c>
    </row>
    <row r="40" ht="15.75" customHeight="1">
      <c r="A40" s="2">
        <v>25.0</v>
      </c>
      <c r="B40" s="2" t="s">
        <v>76</v>
      </c>
      <c r="C40" s="2" t="s">
        <v>6</v>
      </c>
      <c r="D40" s="8">
        <f>VLOOKUP(B40,courses_program1!A:E,4,0)</f>
        <v>-0.343464154</v>
      </c>
      <c r="E40" s="8">
        <f>VLOOKUP(B40,courses_program1!A:E,5,0)</f>
        <v>6.991568663</v>
      </c>
      <c r="F40" s="8">
        <f>VLOOKUP(C40,courses_program1!A:E,4,0)</f>
        <v>0.000002653589793</v>
      </c>
      <c r="G40" s="8">
        <f>VLOOKUP(C40,courses_program1!A:E,5,0)</f>
        <v>2</v>
      </c>
      <c r="H40" s="2">
        <v>1.0</v>
      </c>
      <c r="I40" s="2" t="str">
        <f t="shared" si="1"/>
        <v>S443S200</v>
      </c>
    </row>
    <row r="41" ht="15.75" customHeight="1">
      <c r="A41" s="2">
        <v>25.0</v>
      </c>
      <c r="B41" s="2" t="s">
        <v>76</v>
      </c>
      <c r="C41" s="2" t="s">
        <v>20</v>
      </c>
      <c r="D41" s="8">
        <f>VLOOKUP(B41,courses_program1!A:E,4,0)</f>
        <v>-0.343464154</v>
      </c>
      <c r="E41" s="8">
        <f>VLOOKUP(B41,courses_program1!A:E,5,0)</f>
        <v>6.991568663</v>
      </c>
      <c r="F41" s="8">
        <f>VLOOKUP(C41,courses_program1!A:E,4,0)</f>
        <v>2.121321751</v>
      </c>
      <c r="G41" s="8">
        <f>VLOOKUP(C41,courses_program1!A:E,5,0)</f>
        <v>2.121318936</v>
      </c>
      <c r="H41" s="2">
        <v>0.0</v>
      </c>
      <c r="I41" s="2" t="str">
        <f t="shared" si="1"/>
        <v>S443S251</v>
      </c>
    </row>
    <row r="42" ht="15.75" customHeight="1">
      <c r="A42" s="2">
        <v>25.0</v>
      </c>
      <c r="B42" s="2" t="s">
        <v>76</v>
      </c>
      <c r="C42" s="2" t="s">
        <v>24</v>
      </c>
      <c r="D42" s="8">
        <f>VLOOKUP(B42,courses_program1!A:E,4,0)</f>
        <v>-0.343464154</v>
      </c>
      <c r="E42" s="8">
        <f>VLOOKUP(B42,courses_program1!A:E,5,0)</f>
        <v>6.991568663</v>
      </c>
      <c r="F42" s="8">
        <f>VLOOKUP(C42,courses_program1!A:E,4,0)</f>
        <v>-1.1480457</v>
      </c>
      <c r="G42" s="8">
        <f>VLOOKUP(C42,courses_program1!A:E,5,0)</f>
        <v>2.771640502</v>
      </c>
      <c r="H42" s="2">
        <v>0.0</v>
      </c>
      <c r="I42" s="2" t="str">
        <f t="shared" si="1"/>
        <v>S443S300</v>
      </c>
    </row>
    <row r="43" ht="15.75" customHeight="1">
      <c r="A43" s="2">
        <v>26.0</v>
      </c>
      <c r="B43" s="2" t="s">
        <v>76</v>
      </c>
      <c r="C43" s="2" t="s">
        <v>36</v>
      </c>
      <c r="D43" s="8">
        <f>VLOOKUP(B43,courses_program1!A:E,4,0)</f>
        <v>-0.343464154</v>
      </c>
      <c r="E43" s="8">
        <f>VLOOKUP(B43,courses_program1!A:E,5,0)</f>
        <v>6.991568663</v>
      </c>
      <c r="F43" s="8">
        <f>VLOOKUP(C43,courses_program1!A:E,4,0)</f>
        <v>-0.9754442903</v>
      </c>
      <c r="G43" s="8">
        <f>VLOOKUP(C43,courses_program1!A:E,5,0)</f>
        <v>4.903927858</v>
      </c>
      <c r="H43" s="2">
        <v>1.0</v>
      </c>
      <c r="I43" s="2" t="str">
        <f t="shared" si="1"/>
        <v>S443S305</v>
      </c>
    </row>
    <row r="44" ht="15.75" customHeight="1">
      <c r="A44" s="2">
        <v>27.0</v>
      </c>
      <c r="B44" s="2" t="s">
        <v>79</v>
      </c>
      <c r="C44" s="2" t="s">
        <v>39</v>
      </c>
      <c r="D44" s="8">
        <f>VLOOKUP(B44,courses_program1!A:E,4,0)</f>
        <v>0.6861286475</v>
      </c>
      <c r="E44" s="8">
        <f>VLOOKUP(B44,courses_program1!A:E,5,0)</f>
        <v>6.966292233</v>
      </c>
      <c r="F44" s="8">
        <f>VLOOKUP(C44,courses_program1!A:E,4,0)</f>
        <v>0.4900918911</v>
      </c>
      <c r="G44" s="8">
        <f>VLOOKUP(C44,courses_program1!A:E,5,0)</f>
        <v>4.975923024</v>
      </c>
      <c r="H44" s="2">
        <v>1.0</v>
      </c>
      <c r="I44" s="2" t="str">
        <f t="shared" si="1"/>
        <v>S445S306</v>
      </c>
    </row>
    <row r="45" ht="15.75" customHeight="1">
      <c r="A45" s="2">
        <v>28.0</v>
      </c>
      <c r="B45" s="2" t="s">
        <v>82</v>
      </c>
      <c r="C45" s="2" t="s">
        <v>36</v>
      </c>
      <c r="D45" s="8">
        <f>VLOOKUP(B45,courses_program1!A:E,4,0)</f>
        <v>-2.678773301</v>
      </c>
      <c r="E45" s="8">
        <f>VLOOKUP(B45,courses_program1!A:E,5,0)</f>
        <v>6.46716117</v>
      </c>
      <c r="F45" s="8">
        <f>VLOOKUP(C45,courses_program1!A:E,4,0)</f>
        <v>-0.9754442903</v>
      </c>
      <c r="G45" s="8">
        <f>VLOOKUP(C45,courses_program1!A:E,5,0)</f>
        <v>4.903927858</v>
      </c>
      <c r="H45" s="2">
        <v>1.0</v>
      </c>
      <c r="I45" s="2" t="str">
        <f t="shared" si="1"/>
        <v>S447S305</v>
      </c>
    </row>
    <row r="46" ht="15.75" customHeight="1">
      <c r="A46" s="2">
        <v>30.0</v>
      </c>
      <c r="B46" s="2" t="s">
        <v>90</v>
      </c>
      <c r="C46" s="2" t="s">
        <v>39</v>
      </c>
      <c r="D46" s="8">
        <f>VLOOKUP(B46,courses_program1!A:E,4,0)</f>
        <v>2.031999962</v>
      </c>
      <c r="E46" s="8">
        <f>VLOOKUP(B46,courses_program1!A:E,5,0)</f>
        <v>6.69858016</v>
      </c>
      <c r="F46" s="8">
        <f>VLOOKUP(C46,courses_program1!A:E,4,0)</f>
        <v>0.4900918911</v>
      </c>
      <c r="G46" s="8">
        <f>VLOOKUP(C46,courses_program1!A:E,5,0)</f>
        <v>4.975923024</v>
      </c>
      <c r="H46" s="2">
        <v>1.0</v>
      </c>
      <c r="I46" s="2" t="str">
        <f t="shared" si="1"/>
        <v>S450S306</v>
      </c>
    </row>
    <row r="47" ht="15.75" customHeight="1">
      <c r="A47" s="2">
        <v>31.0</v>
      </c>
      <c r="B47" s="2" t="s">
        <v>93</v>
      </c>
      <c r="C47" s="2" t="s">
        <v>116</v>
      </c>
      <c r="D47" s="8">
        <f>VLOOKUP(B47,courses_program1!A:E,4,0)</f>
        <v>0.00000796076938</v>
      </c>
      <c r="E47" s="8">
        <f>VLOOKUP(B47,courses_program1!A:E,5,0)</f>
        <v>6</v>
      </c>
      <c r="F47" s="8">
        <f>VLOOKUP(C47,courses_program1!A:E,4,0)</f>
        <v>1.530737407</v>
      </c>
      <c r="G47" s="8">
        <f>VLOOKUP(C47,courses_program1!A:E,5,0)</f>
        <v>3.695516607</v>
      </c>
      <c r="H47" s="2">
        <v>1.0</v>
      </c>
      <c r="I47" s="2" t="str">
        <f t="shared" si="1"/>
        <v>S460M320</v>
      </c>
    </row>
    <row r="48" ht="15.75" customHeight="1">
      <c r="A48" s="2">
        <v>32.0</v>
      </c>
      <c r="B48" s="2" t="s">
        <v>93</v>
      </c>
      <c r="C48" s="2" t="s">
        <v>36</v>
      </c>
      <c r="D48" s="8">
        <f>VLOOKUP(B48,courses_program1!A:E,4,0)</f>
        <v>0.00000796076938</v>
      </c>
      <c r="E48" s="8">
        <f>VLOOKUP(B48,courses_program1!A:E,5,0)</f>
        <v>6</v>
      </c>
      <c r="F48" s="8">
        <f>VLOOKUP(C48,courses_program1!A:E,4,0)</f>
        <v>-0.9754442903</v>
      </c>
      <c r="G48" s="8">
        <f>VLOOKUP(C48,courses_program1!A:E,5,0)</f>
        <v>4.903927858</v>
      </c>
      <c r="H48" s="2">
        <v>1.0</v>
      </c>
      <c r="I48" s="2" t="str">
        <f t="shared" si="1"/>
        <v>S460S305</v>
      </c>
    </row>
    <row r="49" ht="15.75" customHeight="1">
      <c r="A49" s="2">
        <v>33.0</v>
      </c>
      <c r="B49" s="2" t="s">
        <v>93</v>
      </c>
      <c r="C49" s="2" t="s">
        <v>112</v>
      </c>
      <c r="D49" s="8">
        <f>VLOOKUP(B49,courses_program1!A:E,4,0)</f>
        <v>0.00000796076938</v>
      </c>
      <c r="E49" s="8">
        <f>VLOOKUP(B49,courses_program1!A:E,5,0)</f>
        <v>6</v>
      </c>
      <c r="F49" s="8">
        <f>VLOOKUP(C49,courses_program1!A:E,4,0)</f>
        <v>0.4877286516</v>
      </c>
      <c r="G49" s="8">
        <f>VLOOKUP(C49,courses_program1!A:E,5,0)</f>
        <v>2.451962635</v>
      </c>
      <c r="H49" s="2">
        <v>1.0</v>
      </c>
      <c r="I49" s="2" t="str">
        <f t="shared" si="1"/>
        <v>S460M221</v>
      </c>
    </row>
    <row r="50" ht="15.75" customHeight="1">
      <c r="A50" s="2">
        <v>34.0</v>
      </c>
      <c r="B50" s="2" t="s">
        <v>97</v>
      </c>
      <c r="C50" s="2" t="s">
        <v>93</v>
      </c>
      <c r="D50" s="8">
        <f>VLOOKUP(B50,courses_program1!A:E,4,0)</f>
        <v>0.3434827068</v>
      </c>
      <c r="E50" s="8">
        <f>VLOOKUP(B50,courses_program1!A:E,5,0)</f>
        <v>6.991567752</v>
      </c>
      <c r="F50" s="8">
        <f>VLOOKUP(C50,courses_program1!A:E,4,0)</f>
        <v>0.00000796076938</v>
      </c>
      <c r="G50" s="8">
        <f>VLOOKUP(C50,courses_program1!A:E,5,0)</f>
        <v>6</v>
      </c>
      <c r="H50" s="2">
        <v>1.0</v>
      </c>
      <c r="I50" s="2" t="str">
        <f t="shared" si="1"/>
        <v>S461S460</v>
      </c>
    </row>
    <row r="51" ht="15.75" customHeight="1">
      <c r="A51" s="2">
        <v>36.0</v>
      </c>
      <c r="B51" s="2" t="s">
        <v>104</v>
      </c>
      <c r="C51" s="2" t="s">
        <v>100</v>
      </c>
      <c r="D51" s="8">
        <f>VLOOKUP(B51,courses_program1!A:E,4,0)</f>
        <v>1.414214501</v>
      </c>
      <c r="E51" s="8">
        <f>VLOOKUP(B51,courses_program1!A:E,5,0)</f>
        <v>1.414212624</v>
      </c>
      <c r="F51" s="8">
        <f>VLOOKUP(C51,courses_program1!A:E,4,0)</f>
        <v>0.000001326794897</v>
      </c>
      <c r="G51" s="8">
        <f>VLOOKUP(C51,courses_program1!A:E,5,0)</f>
        <v>1</v>
      </c>
      <c r="H51" s="2">
        <v>1.0</v>
      </c>
      <c r="I51" s="2" t="str">
        <f t="shared" si="1"/>
        <v>M101M100</v>
      </c>
    </row>
    <row r="52" ht="15.75" customHeight="1">
      <c r="A52" s="2">
        <v>37.0</v>
      </c>
      <c r="B52" s="2" t="s">
        <v>108</v>
      </c>
      <c r="C52" s="2" t="s">
        <v>104</v>
      </c>
      <c r="D52" s="8">
        <f>VLOOKUP(B52,courses_program1!A:E,4,0)</f>
        <v>1.148053055</v>
      </c>
      <c r="E52" s="8">
        <f>VLOOKUP(B52,courses_program1!A:E,5,0)</f>
        <v>2.771637455</v>
      </c>
      <c r="F52" s="8">
        <f>VLOOKUP(C52,courses_program1!A:E,4,0)</f>
        <v>1.414214501</v>
      </c>
      <c r="G52" s="8">
        <f>VLOOKUP(C52,courses_program1!A:E,5,0)</f>
        <v>1.414212624</v>
      </c>
      <c r="H52" s="2">
        <v>1.0</v>
      </c>
      <c r="I52" s="2" t="str">
        <f t="shared" si="1"/>
        <v>M200M101</v>
      </c>
    </row>
    <row r="53" ht="15.75" customHeight="1">
      <c r="A53" s="2">
        <v>38.0</v>
      </c>
      <c r="B53" s="2" t="s">
        <v>112</v>
      </c>
      <c r="C53" s="2" t="s">
        <v>100</v>
      </c>
      <c r="D53" s="8">
        <f>VLOOKUP(B53,courses_program1!A:E,4,0)</f>
        <v>0.4877286516</v>
      </c>
      <c r="E53" s="8">
        <f>VLOOKUP(B53,courses_program1!A:E,5,0)</f>
        <v>2.451962635</v>
      </c>
      <c r="F53" s="8">
        <f>VLOOKUP(C53,courses_program1!A:E,4,0)</f>
        <v>0.000001326794897</v>
      </c>
      <c r="G53" s="8">
        <f>VLOOKUP(C53,courses_program1!A:E,5,0)</f>
        <v>1</v>
      </c>
      <c r="H53" s="2">
        <v>1.0</v>
      </c>
      <c r="I53" s="2" t="str">
        <f t="shared" si="1"/>
        <v>M221M100</v>
      </c>
    </row>
    <row r="54" ht="15.75" customHeight="1">
      <c r="A54" s="2">
        <v>39.0</v>
      </c>
      <c r="B54" s="2" t="s">
        <v>116</v>
      </c>
      <c r="C54" s="2" t="s">
        <v>108</v>
      </c>
      <c r="D54" s="8">
        <f>VLOOKUP(B54,courses_program1!A:E,4,0)</f>
        <v>1.530737407</v>
      </c>
      <c r="E54" s="8">
        <f>VLOOKUP(B54,courses_program1!A:E,5,0)</f>
        <v>3.695516607</v>
      </c>
      <c r="F54" s="8">
        <f>VLOOKUP(C54,courses_program1!A:E,4,0)</f>
        <v>1.148053055</v>
      </c>
      <c r="G54" s="8">
        <f>VLOOKUP(C54,courses_program1!A:E,5,0)</f>
        <v>2.771637455</v>
      </c>
      <c r="H54" s="2">
        <v>1.0</v>
      </c>
      <c r="I54" s="2" t="str">
        <f t="shared" si="1"/>
        <v>M320M200</v>
      </c>
    </row>
    <row r="55" ht="15.75" customHeight="1">
      <c r="A55" s="2">
        <v>41.0</v>
      </c>
      <c r="B55" s="2" t="s">
        <v>122</v>
      </c>
      <c r="C55" s="2" t="s">
        <v>119</v>
      </c>
      <c r="D55" s="8">
        <f>VLOOKUP(B55,courses_program1!A:E,4,0)</f>
        <v>-0.7653638002</v>
      </c>
      <c r="E55" s="8">
        <f>VLOOKUP(B55,courses_program1!A:E,5,0)</f>
        <v>1.847760334</v>
      </c>
      <c r="F55" s="8">
        <f>VLOOKUP(C55,courses_program1!A:E,4,0)</f>
        <v>-0.7071053739</v>
      </c>
      <c r="G55" s="8">
        <f>VLOOKUP(C55,courses_program1!A:E,5,0)</f>
        <v>0.7071081885</v>
      </c>
      <c r="H55" s="2">
        <v>1.0</v>
      </c>
      <c r="I55" s="2" t="str">
        <f t="shared" si="1"/>
        <v>D200D100</v>
      </c>
    </row>
    <row r="56" ht="15.75" customHeight="1">
      <c r="D56" s="8"/>
      <c r="E56" s="8"/>
      <c r="F56" s="8"/>
      <c r="G56" s="8"/>
    </row>
    <row r="57" ht="15.75" customHeight="1">
      <c r="D57" s="8"/>
      <c r="E57" s="8"/>
      <c r="F57" s="8"/>
      <c r="G57" s="8"/>
    </row>
    <row r="58" ht="15.75" customHeight="1">
      <c r="D58" s="8"/>
      <c r="E58" s="8"/>
      <c r="F58" s="8"/>
      <c r="G58" s="8"/>
    </row>
    <row r="59" ht="15.75" customHeight="1">
      <c r="D59" s="8"/>
      <c r="E59" s="8"/>
      <c r="F59" s="8"/>
      <c r="G59" s="8"/>
    </row>
    <row r="60" ht="15.75" customHeight="1">
      <c r="D60" s="8"/>
      <c r="E60" s="8"/>
      <c r="F60" s="8"/>
      <c r="G60" s="8"/>
    </row>
    <row r="61" ht="15.75" customHeight="1">
      <c r="D61" s="8"/>
      <c r="E61" s="8"/>
      <c r="F61" s="8"/>
      <c r="G61" s="8"/>
    </row>
    <row r="62" ht="15.75" customHeight="1">
      <c r="D62" s="8"/>
      <c r="E62" s="8"/>
      <c r="F62" s="8"/>
      <c r="G62" s="8"/>
    </row>
    <row r="63" ht="15.75" customHeight="1">
      <c r="D63" s="8"/>
      <c r="E63" s="8"/>
      <c r="F63" s="8"/>
      <c r="G63" s="8"/>
    </row>
    <row r="64" ht="15.75" customHeight="1">
      <c r="D64" s="8"/>
      <c r="E64" s="8"/>
      <c r="F64" s="8"/>
      <c r="G64" s="8"/>
    </row>
    <row r="65" ht="15.75" customHeight="1">
      <c r="D65" s="8"/>
      <c r="E65" s="8"/>
      <c r="F65" s="8"/>
      <c r="G65" s="8"/>
    </row>
    <row r="66" ht="15.75" customHeight="1">
      <c r="D66" s="8"/>
      <c r="E66" s="8"/>
      <c r="F66" s="8"/>
      <c r="G66" s="8"/>
    </row>
    <row r="67" ht="15.75" customHeight="1">
      <c r="D67" s="8"/>
      <c r="E67" s="8"/>
      <c r="F67" s="8"/>
      <c r="G67" s="8"/>
    </row>
    <row r="68" ht="15.75" customHeight="1">
      <c r="D68" s="8"/>
      <c r="E68" s="8"/>
      <c r="F68" s="8"/>
      <c r="G68" s="8"/>
    </row>
    <row r="69" ht="15.75" customHeight="1">
      <c r="D69" s="8"/>
      <c r="E69" s="8"/>
      <c r="F69" s="8"/>
      <c r="G69" s="8"/>
    </row>
    <row r="70" ht="15.75" customHeight="1">
      <c r="D70" s="8"/>
      <c r="E70" s="8"/>
      <c r="F70" s="8"/>
      <c r="G70" s="8"/>
    </row>
    <row r="71" ht="15.75" customHeight="1">
      <c r="D71" s="8"/>
      <c r="E71" s="8"/>
      <c r="F71" s="8"/>
      <c r="G71" s="8"/>
    </row>
    <row r="72" ht="15.75" customHeight="1">
      <c r="D72" s="8"/>
      <c r="E72" s="8"/>
      <c r="F72" s="8"/>
      <c r="G72" s="8"/>
    </row>
    <row r="73" ht="15.75" customHeight="1">
      <c r="D73" s="8"/>
      <c r="E73" s="8"/>
      <c r="F73" s="8"/>
      <c r="G73" s="8"/>
    </row>
    <row r="74" ht="15.75" customHeight="1">
      <c r="D74" s="8"/>
      <c r="E74" s="8"/>
      <c r="F74" s="8"/>
      <c r="G74" s="8"/>
      <c r="H74" s="11"/>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26" width="10.71"/>
  </cols>
  <sheetData>
    <row r="1">
      <c r="A1" s="5" t="s">
        <v>195</v>
      </c>
      <c r="B1" s="5" t="s">
        <v>0</v>
      </c>
      <c r="C1" s="5" t="s">
        <v>196</v>
      </c>
    </row>
    <row r="2">
      <c r="A2" s="2">
        <v>1.0</v>
      </c>
      <c r="B2" s="5" t="s">
        <v>100</v>
      </c>
      <c r="C2" s="5" t="s">
        <v>197</v>
      </c>
    </row>
    <row r="3">
      <c r="A3" s="2">
        <v>2.0</v>
      </c>
      <c r="B3" s="5" t="s">
        <v>100</v>
      </c>
      <c r="C3" s="5" t="s">
        <v>198</v>
      </c>
    </row>
    <row r="4">
      <c r="A4" s="2">
        <v>3.0</v>
      </c>
      <c r="B4" s="5" t="s">
        <v>100</v>
      </c>
      <c r="C4" s="5" t="s">
        <v>199</v>
      </c>
    </row>
    <row r="5">
      <c r="A5" s="2">
        <v>4.0</v>
      </c>
      <c r="B5" s="5" t="s">
        <v>100</v>
      </c>
      <c r="C5" s="5" t="s">
        <v>200</v>
      </c>
    </row>
    <row r="6">
      <c r="A6" s="2">
        <v>5.0</v>
      </c>
      <c r="B6" s="5" t="s">
        <v>100</v>
      </c>
      <c r="C6" s="5" t="s">
        <v>201</v>
      </c>
    </row>
    <row r="7">
      <c r="A7" s="2">
        <v>6.0</v>
      </c>
      <c r="B7" s="5" t="s">
        <v>100</v>
      </c>
      <c r="C7" s="5" t="s">
        <v>202</v>
      </c>
    </row>
    <row r="8">
      <c r="A8" s="2">
        <v>7.0</v>
      </c>
      <c r="B8" s="5" t="s">
        <v>104</v>
      </c>
      <c r="C8" s="5" t="s">
        <v>203</v>
      </c>
    </row>
    <row r="9">
      <c r="A9" s="2">
        <v>8.0</v>
      </c>
      <c r="B9" s="5" t="s">
        <v>104</v>
      </c>
      <c r="C9" s="5" t="s">
        <v>204</v>
      </c>
    </row>
    <row r="10">
      <c r="A10" s="2">
        <v>9.0</v>
      </c>
      <c r="B10" s="5" t="s">
        <v>104</v>
      </c>
      <c r="C10" s="5" t="s">
        <v>205</v>
      </c>
    </row>
    <row r="11">
      <c r="A11" s="2">
        <v>10.0</v>
      </c>
      <c r="B11" s="5" t="s">
        <v>112</v>
      </c>
      <c r="C11" s="5" t="s">
        <v>206</v>
      </c>
    </row>
    <row r="12">
      <c r="A12" s="2">
        <v>11.0</v>
      </c>
      <c r="B12" s="5" t="s">
        <v>112</v>
      </c>
      <c r="C12" s="5" t="s">
        <v>207</v>
      </c>
    </row>
    <row r="13">
      <c r="A13" s="2">
        <v>12.0</v>
      </c>
      <c r="B13" s="5" t="s">
        <v>31</v>
      </c>
      <c r="C13" s="5" t="s">
        <v>208</v>
      </c>
    </row>
    <row r="14">
      <c r="A14" s="2">
        <v>13.0</v>
      </c>
      <c r="B14" s="5" t="s">
        <v>108</v>
      </c>
      <c r="C14" s="5" t="s">
        <v>209</v>
      </c>
    </row>
    <row r="15">
      <c r="A15" s="2">
        <v>14.0</v>
      </c>
      <c r="B15" s="5" t="s">
        <v>108</v>
      </c>
      <c r="C15" s="5" t="s">
        <v>210</v>
      </c>
    </row>
    <row r="16">
      <c r="A16" s="2">
        <v>15.0</v>
      </c>
      <c r="B16" s="5" t="s">
        <v>108</v>
      </c>
      <c r="C16" s="5" t="s">
        <v>211</v>
      </c>
    </row>
    <row r="17">
      <c r="A17" s="2">
        <v>16.0</v>
      </c>
      <c r="B17" s="5" t="s">
        <v>108</v>
      </c>
      <c r="C17" s="5" t="s">
        <v>212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7" width="10.71"/>
  </cols>
  <sheetData>
    <row r="1">
      <c r="A1" s="11" t="s">
        <v>213</v>
      </c>
      <c r="B1" s="11" t="s">
        <v>174</v>
      </c>
      <c r="C1" s="11" t="s">
        <v>175</v>
      </c>
      <c r="D1" s="11" t="s">
        <v>214</v>
      </c>
      <c r="E1" s="11" t="s">
        <v>215</v>
      </c>
      <c r="F1" s="11" t="s">
        <v>176</v>
      </c>
      <c r="G1" s="11" t="s">
        <v>177</v>
      </c>
    </row>
    <row r="2">
      <c r="A2" s="11">
        <v>1.0</v>
      </c>
      <c r="B2" s="11">
        <v>2.0</v>
      </c>
      <c r="C2" s="11" t="s">
        <v>216</v>
      </c>
      <c r="D2" s="11" t="s">
        <v>217</v>
      </c>
      <c r="E2" s="11" t="s">
        <v>218</v>
      </c>
      <c r="F2" s="14" t="s">
        <v>219</v>
      </c>
      <c r="G2" s="14" t="s">
        <v>220</v>
      </c>
    </row>
    <row r="3">
      <c r="A3" s="11">
        <v>2.0</v>
      </c>
      <c r="B3" s="11">
        <v>2.0</v>
      </c>
      <c r="C3" s="11" t="s">
        <v>221</v>
      </c>
      <c r="D3" s="11" t="s">
        <v>222</v>
      </c>
      <c r="E3" s="11" t="s">
        <v>223</v>
      </c>
      <c r="F3" s="14" t="s">
        <v>224</v>
      </c>
      <c r="G3" s="14" t="s">
        <v>220</v>
      </c>
    </row>
    <row r="4">
      <c r="A4" s="11">
        <v>3.0</v>
      </c>
      <c r="B4" s="11">
        <v>2.0</v>
      </c>
      <c r="C4" s="11" t="s">
        <v>225</v>
      </c>
      <c r="D4" s="11" t="s">
        <v>226</v>
      </c>
      <c r="E4" s="11" t="s">
        <v>227</v>
      </c>
      <c r="F4" s="14" t="s">
        <v>228</v>
      </c>
      <c r="G4" s="14" t="s">
        <v>220</v>
      </c>
    </row>
    <row r="5">
      <c r="A5" s="11">
        <v>4.0</v>
      </c>
      <c r="B5" s="11">
        <v>2.0</v>
      </c>
      <c r="C5" s="11" t="s">
        <v>229</v>
      </c>
      <c r="D5" s="11" t="s">
        <v>230</v>
      </c>
      <c r="E5" s="11" t="s">
        <v>231</v>
      </c>
      <c r="F5" s="14" t="s">
        <v>232</v>
      </c>
      <c r="G5" s="14" t="s">
        <v>220</v>
      </c>
    </row>
    <row r="6">
      <c r="A6" s="11">
        <v>5.0</v>
      </c>
      <c r="B6" s="11">
        <v>2.0</v>
      </c>
      <c r="C6" s="11" t="s">
        <v>233</v>
      </c>
      <c r="D6" s="11" t="s">
        <v>234</v>
      </c>
      <c r="E6" s="11" t="s">
        <v>235</v>
      </c>
      <c r="F6" s="14" t="s">
        <v>236</v>
      </c>
      <c r="G6" s="14" t="s">
        <v>220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12.71"/>
    <col customWidth="1" min="4" max="4" width="26.86"/>
    <col customWidth="1" min="5" max="5" width="23.0"/>
    <col customWidth="1" min="6" max="7" width="29.14"/>
    <col customWidth="1" min="8" max="8" width="24.71"/>
    <col customWidth="1" min="9" max="9" width="22.71"/>
    <col customWidth="1" min="10" max="10" width="74.71"/>
    <col customWidth="1" min="11" max="26" width="10.71"/>
  </cols>
  <sheetData>
    <row r="1">
      <c r="A1" s="15" t="s">
        <v>237</v>
      </c>
      <c r="B1" s="15" t="s">
        <v>174</v>
      </c>
      <c r="C1" s="15" t="s">
        <v>213</v>
      </c>
      <c r="D1" s="15" t="s">
        <v>238</v>
      </c>
      <c r="E1" s="15" t="s">
        <v>175</v>
      </c>
      <c r="F1" s="15" t="s">
        <v>239</v>
      </c>
      <c r="G1" s="15" t="s">
        <v>240</v>
      </c>
      <c r="H1" s="15" t="s">
        <v>214</v>
      </c>
      <c r="I1" s="15" t="s">
        <v>241</v>
      </c>
      <c r="J1" s="15" t="s">
        <v>242</v>
      </c>
      <c r="K1" s="15"/>
      <c r="L1" s="15"/>
      <c r="M1" s="15"/>
      <c r="N1" s="15"/>
      <c r="O1" s="15"/>
      <c r="P1" s="15"/>
      <c r="Q1" s="15"/>
      <c r="R1" s="15"/>
      <c r="S1" s="15"/>
      <c r="T1" s="15"/>
      <c r="U1" s="15"/>
      <c r="V1" s="15"/>
      <c r="W1" s="15"/>
      <c r="X1" s="15"/>
      <c r="Y1" s="15"/>
      <c r="Z1" s="15"/>
    </row>
    <row r="2">
      <c r="A2" s="15">
        <v>1.0</v>
      </c>
      <c r="B2" s="15">
        <v>2.0</v>
      </c>
      <c r="C2" s="15">
        <v>1.0</v>
      </c>
      <c r="D2" s="15" t="s">
        <v>243</v>
      </c>
      <c r="E2" s="15" t="s">
        <v>244</v>
      </c>
      <c r="F2" s="15" t="s">
        <v>245</v>
      </c>
      <c r="G2" s="15" t="s">
        <v>246</v>
      </c>
      <c r="H2" s="15" t="s">
        <v>247</v>
      </c>
      <c r="I2" s="15" t="s">
        <v>248</v>
      </c>
      <c r="J2" s="15" t="s">
        <v>249</v>
      </c>
      <c r="K2" s="15"/>
      <c r="L2" s="15"/>
      <c r="M2" s="15"/>
      <c r="N2" s="15"/>
      <c r="O2" s="15"/>
      <c r="P2" s="15"/>
      <c r="Q2" s="15"/>
      <c r="R2" s="15"/>
      <c r="S2" s="15"/>
      <c r="T2" s="15"/>
      <c r="U2" s="15"/>
      <c r="V2" s="15"/>
      <c r="W2" s="15"/>
      <c r="X2" s="15"/>
      <c r="Y2" s="15"/>
      <c r="Z2" s="15"/>
    </row>
    <row r="3">
      <c r="A3" s="15">
        <v>2.0</v>
      </c>
      <c r="B3" s="15">
        <v>2.0</v>
      </c>
      <c r="C3" s="15">
        <v>2.0</v>
      </c>
      <c r="D3" s="15" t="s">
        <v>250</v>
      </c>
      <c r="E3" s="15" t="s">
        <v>251</v>
      </c>
      <c r="F3" s="15" t="s">
        <v>252</v>
      </c>
      <c r="G3" s="15" t="s">
        <v>253</v>
      </c>
      <c r="H3" s="15" t="s">
        <v>254</v>
      </c>
      <c r="I3" s="15" t="s">
        <v>255</v>
      </c>
      <c r="J3" s="15" t="s">
        <v>255</v>
      </c>
      <c r="K3" s="15"/>
      <c r="L3" s="15"/>
      <c r="M3" s="15"/>
      <c r="N3" s="15"/>
      <c r="O3" s="15"/>
      <c r="P3" s="15"/>
      <c r="Q3" s="15"/>
      <c r="R3" s="15"/>
      <c r="S3" s="15"/>
      <c r="T3" s="15"/>
      <c r="U3" s="15"/>
      <c r="V3" s="15"/>
      <c r="W3" s="15"/>
      <c r="X3" s="15"/>
      <c r="Y3" s="15"/>
      <c r="Z3" s="15"/>
    </row>
    <row r="4">
      <c r="A4" s="15">
        <v>3.0</v>
      </c>
      <c r="B4" s="15">
        <v>2.0</v>
      </c>
      <c r="C4" s="15">
        <v>3.0</v>
      </c>
      <c r="D4" s="15" t="s">
        <v>256</v>
      </c>
      <c r="E4" s="15" t="s">
        <v>257</v>
      </c>
      <c r="F4" s="15" t="s">
        <v>258</v>
      </c>
      <c r="G4" s="15" t="s">
        <v>259</v>
      </c>
      <c r="H4" s="15" t="s">
        <v>260</v>
      </c>
      <c r="I4" s="15" t="s">
        <v>261</v>
      </c>
      <c r="J4" s="15" t="s">
        <v>262</v>
      </c>
      <c r="K4" s="15"/>
      <c r="L4" s="15"/>
      <c r="M4" s="15"/>
      <c r="N4" s="15"/>
      <c r="O4" s="15"/>
      <c r="P4" s="15"/>
      <c r="Q4" s="15"/>
      <c r="R4" s="15"/>
      <c r="S4" s="15"/>
      <c r="T4" s="15"/>
      <c r="U4" s="15"/>
      <c r="V4" s="15"/>
      <c r="W4" s="15"/>
      <c r="X4" s="15"/>
      <c r="Y4" s="15"/>
      <c r="Z4" s="15"/>
    </row>
    <row r="5">
      <c r="A5" s="15">
        <v>4.0</v>
      </c>
      <c r="B5" s="15">
        <v>2.0</v>
      </c>
      <c r="C5" s="15">
        <v>4.0</v>
      </c>
      <c r="D5" s="15" t="s">
        <v>263</v>
      </c>
      <c r="E5" s="15" t="s">
        <v>264</v>
      </c>
      <c r="F5" s="15" t="s">
        <v>265</v>
      </c>
      <c r="G5" s="15" t="s">
        <v>246</v>
      </c>
      <c r="H5" s="15" t="s">
        <v>266</v>
      </c>
      <c r="I5" s="15" t="s">
        <v>267</v>
      </c>
      <c r="J5" s="15" t="s">
        <v>268</v>
      </c>
      <c r="K5" s="15"/>
      <c r="L5" s="15"/>
      <c r="M5" s="15"/>
      <c r="N5" s="15"/>
      <c r="O5" s="15"/>
      <c r="P5" s="15"/>
      <c r="Q5" s="15"/>
      <c r="R5" s="15"/>
      <c r="S5" s="15"/>
      <c r="T5" s="15"/>
      <c r="U5" s="15"/>
      <c r="V5" s="15"/>
      <c r="W5" s="15"/>
      <c r="X5" s="15"/>
      <c r="Y5" s="15"/>
      <c r="Z5" s="15"/>
    </row>
    <row r="6">
      <c r="A6" s="15">
        <v>5.0</v>
      </c>
      <c r="B6" s="15">
        <v>2.0</v>
      </c>
      <c r="C6" s="15">
        <v>5.0</v>
      </c>
      <c r="D6" s="15" t="s">
        <v>269</v>
      </c>
      <c r="E6" s="15" t="s">
        <v>270</v>
      </c>
      <c r="F6" s="15" t="s">
        <v>271</v>
      </c>
      <c r="G6" s="15" t="s">
        <v>272</v>
      </c>
      <c r="H6" s="15" t="s">
        <v>273</v>
      </c>
      <c r="I6" s="15" t="s">
        <v>274</v>
      </c>
      <c r="J6" s="15" t="s">
        <v>275</v>
      </c>
      <c r="K6" s="15"/>
      <c r="L6" s="15"/>
      <c r="M6" s="15"/>
      <c r="N6" s="15"/>
      <c r="O6" s="15"/>
      <c r="P6" s="15"/>
      <c r="Q6" s="15"/>
      <c r="R6" s="15"/>
      <c r="S6" s="15"/>
      <c r="T6" s="15"/>
      <c r="U6" s="15"/>
      <c r="V6" s="15"/>
      <c r="W6" s="15"/>
      <c r="X6" s="15"/>
      <c r="Y6" s="15"/>
      <c r="Z6" s="15"/>
    </row>
    <row r="7">
      <c r="A7" s="15">
        <v>6.0</v>
      </c>
      <c r="B7" s="15">
        <v>1.0</v>
      </c>
      <c r="C7" s="15"/>
      <c r="D7" s="15" t="s">
        <v>276</v>
      </c>
      <c r="E7" s="15" t="s">
        <v>277</v>
      </c>
      <c r="F7" s="15" t="s">
        <v>278</v>
      </c>
      <c r="G7" s="15" t="s">
        <v>272</v>
      </c>
      <c r="H7" s="15" t="s">
        <v>279</v>
      </c>
      <c r="I7" s="15" t="s">
        <v>280</v>
      </c>
      <c r="J7" s="15" t="s">
        <v>281</v>
      </c>
      <c r="K7" s="15"/>
      <c r="L7" s="15"/>
      <c r="M7" s="15"/>
      <c r="N7" s="15"/>
      <c r="O7" s="15"/>
      <c r="P7" s="15"/>
      <c r="Q7" s="15"/>
      <c r="R7" s="15"/>
      <c r="S7" s="15"/>
      <c r="T7" s="15"/>
      <c r="U7" s="15"/>
      <c r="V7" s="15"/>
      <c r="W7" s="15"/>
      <c r="X7" s="15"/>
      <c r="Y7" s="15"/>
      <c r="Z7" s="15"/>
    </row>
    <row r="8">
      <c r="A8" s="15">
        <v>7.0</v>
      </c>
      <c r="B8" s="15">
        <v>2.0</v>
      </c>
      <c r="C8" s="15">
        <v>1.0</v>
      </c>
      <c r="D8" s="15" t="s">
        <v>282</v>
      </c>
      <c r="E8" s="15" t="s">
        <v>283</v>
      </c>
      <c r="F8" s="15" t="s">
        <v>284</v>
      </c>
      <c r="G8" s="15" t="s">
        <v>272</v>
      </c>
      <c r="H8" s="15" t="s">
        <v>285</v>
      </c>
      <c r="I8" s="15" t="s">
        <v>286</v>
      </c>
      <c r="J8" s="15" t="s">
        <v>287</v>
      </c>
      <c r="K8" s="15"/>
      <c r="L8" s="15"/>
      <c r="M8" s="15"/>
      <c r="N8" s="15"/>
      <c r="O8" s="15"/>
      <c r="P8" s="15"/>
      <c r="Q8" s="15"/>
      <c r="R8" s="15"/>
      <c r="S8" s="15"/>
      <c r="T8" s="15"/>
      <c r="U8" s="15"/>
      <c r="V8" s="15"/>
      <c r="W8" s="15"/>
      <c r="X8" s="15"/>
      <c r="Y8" s="15"/>
      <c r="Z8" s="15"/>
    </row>
    <row r="9">
      <c r="A9" s="15">
        <v>8.0</v>
      </c>
      <c r="B9" s="15">
        <v>2.0</v>
      </c>
      <c r="C9" s="15">
        <v>4.0</v>
      </c>
      <c r="D9" s="15" t="s">
        <v>288</v>
      </c>
      <c r="E9" s="15" t="s">
        <v>289</v>
      </c>
      <c r="F9" s="15" t="s">
        <v>290</v>
      </c>
      <c r="G9" s="15" t="s">
        <v>291</v>
      </c>
      <c r="H9" s="15" t="s">
        <v>292</v>
      </c>
      <c r="I9" s="15" t="s">
        <v>293</v>
      </c>
      <c r="J9" s="15" t="s">
        <v>294</v>
      </c>
      <c r="K9" s="15"/>
      <c r="L9" s="15"/>
      <c r="M9" s="15"/>
      <c r="N9" s="15"/>
      <c r="O9" s="15"/>
      <c r="P9" s="15"/>
      <c r="Q9" s="15"/>
      <c r="R9" s="15"/>
      <c r="S9" s="15"/>
      <c r="T9" s="15"/>
      <c r="U9" s="15"/>
      <c r="V9" s="15"/>
      <c r="W9" s="15"/>
      <c r="X9" s="15"/>
      <c r="Y9" s="15"/>
      <c r="Z9" s="15"/>
    </row>
    <row r="10">
      <c r="A10" s="15">
        <v>9.0</v>
      </c>
      <c r="B10" s="15">
        <v>2.0</v>
      </c>
      <c r="C10" s="15">
        <v>5.0</v>
      </c>
      <c r="D10" s="15" t="s">
        <v>295</v>
      </c>
      <c r="E10" s="15" t="s">
        <v>296</v>
      </c>
      <c r="F10" s="15" t="s">
        <v>297</v>
      </c>
      <c r="G10" s="15" t="s">
        <v>272</v>
      </c>
      <c r="H10" s="15" t="s">
        <v>298</v>
      </c>
      <c r="I10" s="15" t="s">
        <v>299</v>
      </c>
      <c r="J10" s="15" t="s">
        <v>300</v>
      </c>
      <c r="K10" s="15"/>
      <c r="L10" s="15"/>
      <c r="M10" s="15"/>
      <c r="N10" s="15"/>
      <c r="O10" s="15"/>
      <c r="P10" s="15"/>
      <c r="Q10" s="15"/>
      <c r="R10" s="15"/>
      <c r="S10" s="15"/>
      <c r="T10" s="15"/>
      <c r="U10" s="15"/>
      <c r="V10" s="15"/>
      <c r="W10" s="15"/>
      <c r="X10" s="15"/>
      <c r="Y10" s="15"/>
      <c r="Z10" s="15"/>
    </row>
    <row r="1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row>
    <row r="12">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row>
    <row r="13">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row>
    <row r="14">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row>
    <row r="15">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row>
    <row r="16">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row>
    <row r="17">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row>
    <row r="18">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row>
    <row r="19">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row>
    <row r="20">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row>
    <row r="21" ht="15.75" customHeight="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row>
    <row r="22" ht="15.75" customHeight="1">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row>
    <row r="23" ht="15.75" customHeight="1">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row>
    <row r="24" ht="15.75" customHeight="1">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row>
    <row r="25" ht="15.75" customHeight="1">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row>
    <row r="26" ht="15.75" customHeight="1">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row>
    <row r="27" ht="15.75" customHeight="1">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row>
    <row r="28" ht="15.75" customHeight="1">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row>
    <row r="29" ht="15.75" customHeight="1">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row>
    <row r="30" ht="15.75" customHeight="1">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row>
    <row r="31" ht="15.75" customHeight="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row>
    <row r="32" ht="15.75" customHeight="1">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row>
    <row r="33" ht="15.75" customHeight="1">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row>
    <row r="34" ht="15.75" customHeight="1">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row>
    <row r="35" ht="15.75" customHeight="1">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row>
    <row r="36" ht="15.75" customHeight="1">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row>
    <row r="37" ht="15.75" customHeight="1">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row>
    <row r="38" ht="15.75" customHeight="1">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row>
    <row r="39" ht="15.75" customHeight="1">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row>
    <row r="40" ht="15.75" customHeight="1">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row>
    <row r="41" ht="15.75" customHeight="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row>
    <row r="42" ht="15.75" customHeight="1">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row>
    <row r="43" ht="15.75" customHeight="1">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row>
    <row r="44" ht="15.75" customHeight="1">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row>
    <row r="45" ht="15.75" customHeight="1">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row>
    <row r="46" ht="15.75" customHeight="1">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row>
    <row r="47" ht="15.75" customHeight="1">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row>
    <row r="48" ht="15.75" customHeight="1">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row>
    <row r="49" ht="15.75" customHeight="1">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row>
    <row r="50" ht="15.75" customHeight="1">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row>
    <row r="51" ht="15.75" customHeight="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row>
    <row r="52" ht="15.75" customHeight="1">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row>
    <row r="53" ht="15.75" customHeight="1">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row>
    <row r="54" ht="15.75" customHeight="1">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row>
    <row r="55" ht="15.75" customHeight="1">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row>
    <row r="56" ht="15.75" customHeight="1">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row>
    <row r="57" ht="15.75" customHeight="1">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row>
    <row r="58" ht="15.75" customHeight="1">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row>
    <row r="59" ht="15.75" customHeight="1">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row>
    <row r="60" ht="15.75" customHeight="1">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row>
    <row r="61" ht="15.75" customHeight="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row>
    <row r="62" ht="15.75" customHeight="1">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row>
    <row r="63" ht="15.75" customHeight="1">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row>
    <row r="64" ht="15.75" customHeight="1">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row>
    <row r="65" ht="15.75" customHeight="1">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row>
    <row r="66" ht="15.75" customHeight="1">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row>
    <row r="67" ht="15.75" customHeight="1">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row>
    <row r="68" ht="15.75" customHeight="1">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row>
    <row r="69" ht="15.75" customHeight="1">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row>
    <row r="70" ht="15.75" customHeight="1">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row>
    <row r="71" ht="15.75" customHeight="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row>
    <row r="72" ht="15.75" customHeight="1">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row>
    <row r="73" ht="15.75" customHeight="1">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row>
    <row r="74" ht="15.75" customHeight="1">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row>
    <row r="75" ht="15.75" customHeight="1">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row>
    <row r="76" ht="15.75" customHeight="1">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row>
    <row r="77" ht="15.75" customHeight="1">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row>
    <row r="78" ht="15.75" customHeight="1">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row>
    <row r="79" ht="15.75" customHeight="1">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row>
    <row r="80" ht="15.75" customHeight="1">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row>
    <row r="81" ht="15.75" customHeight="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row>
    <row r="82" ht="15.75" customHeight="1">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row>
    <row r="83" ht="15.75" customHeight="1">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row>
    <row r="84" ht="15.75" customHeight="1">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row>
    <row r="85" ht="15.75" customHeight="1">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row>
    <row r="86" ht="15.75" customHeight="1">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row>
    <row r="87" ht="15.75" customHeight="1">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row>
    <row r="88" ht="15.75" customHeight="1">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row>
    <row r="89" ht="15.75" customHeight="1">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row>
    <row r="90" ht="15.75" customHeight="1">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row>
    <row r="91" ht="15.75" customHeight="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row>
    <row r="92" ht="15.75" customHeight="1">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row>
    <row r="93" ht="15.75" customHeight="1">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row>
    <row r="94" ht="15.75" customHeight="1">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row>
    <row r="95" ht="15.75" customHeight="1">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row>
    <row r="96" ht="15.75" customHeight="1">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row>
    <row r="97" ht="15.75" customHeight="1">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row>
    <row r="98" ht="15.75" customHeight="1">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row>
    <row r="99" ht="15.75" customHeight="1">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row>
    <row r="100" ht="15.75" customHeight="1">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ht="15.75" customHeight="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ht="15.75" customHeight="1">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ht="15.75" customHeight="1">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ht="15.75" customHeight="1">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ht="15.75" customHeight="1">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ht="15.75" customHeight="1">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ht="15.75" customHeight="1">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ht="15.75" customHeight="1">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ht="15.75" customHeight="1">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ht="15.75" customHeight="1">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ht="15.75" customHeight="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ht="15.75" customHeight="1">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ht="15.75" customHeight="1">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ht="15.75" customHeight="1">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ht="15.75" customHeight="1">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ht="15.75" customHeight="1">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ht="15.75" customHeight="1">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ht="15.75" customHeight="1">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ht="15.75" customHeight="1">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ht="15.75" customHeight="1">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ht="15.75" customHeight="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ht="15.75" customHeight="1">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ht="15.75" customHeight="1">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ht="15.75" customHeight="1">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ht="15.75" customHeight="1">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ht="15.75" customHeight="1">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ht="15.75" customHeight="1">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ht="15.75" customHeight="1">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ht="15.75" customHeight="1">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ht="15.75" customHeight="1">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ht="15.75" customHeight="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ht="15.75" customHeight="1">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ht="15.75" customHeight="1">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ht="15.75" customHeight="1">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ht="15.75" customHeight="1">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ht="15.75" customHeight="1">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ht="15.75" customHeight="1">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ht="15.75" customHeight="1">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ht="15.75" customHeight="1">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ht="15.75" customHeight="1">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ht="15.75" customHeight="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ht="15.75" customHeight="1">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ht="15.75" customHeight="1">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ht="15.75" customHeight="1">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ht="15.75" customHeight="1">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ht="15.75" customHeight="1">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ht="15.75" customHeight="1">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ht="15.75" customHeight="1">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ht="15.75" customHeight="1">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ht="15.75" customHeight="1">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ht="15.75" customHeight="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ht="15.75" customHeight="1">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ht="15.75" customHeight="1">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ht="15.75" customHeight="1">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ht="15.75" customHeight="1">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ht="15.75" customHeight="1">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ht="15.75" customHeight="1">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ht="15.75" customHeight="1">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ht="15.75" customHeight="1">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ht="15.75" customHeight="1">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ht="15.75" customHeight="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ht="15.75" customHeight="1">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ht="15.75" customHeight="1">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ht="15.75" customHeight="1">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ht="15.75" customHeight="1">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ht="15.75" customHeight="1">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ht="15.75" customHeight="1">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ht="15.75" customHeight="1">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ht="15.75" customHeight="1">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ht="15.75" customHeight="1">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ht="15.75" customHeight="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ht="15.75" customHeight="1">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ht="15.75" customHeight="1">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ht="15.75" customHeight="1">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ht="15.75" customHeight="1">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ht="15.75" customHeight="1">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ht="15.75" customHeight="1">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ht="15.75" customHeight="1">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ht="15.75" customHeight="1">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ht="15.75" customHeight="1">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ht="15.75" customHeight="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ht="15.75" customHeight="1">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ht="15.75" customHeight="1">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ht="15.75" customHeight="1">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ht="15.75" customHeight="1">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ht="15.75" customHeight="1">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ht="15.75" customHeight="1">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ht="15.75" customHeight="1">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ht="15.75" customHeight="1">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ht="15.75" customHeight="1">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ht="15.75" customHeight="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ht="15.75" customHeight="1">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ht="15.75" customHeight="1">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ht="15.75" customHeight="1">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ht="15.75" customHeight="1">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ht="15.75" customHeight="1">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ht="15.75" customHeight="1">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ht="15.75" customHeight="1">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ht="15.75" customHeight="1">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ht="15.75" customHeight="1">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ht="15.75" customHeight="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ht="15.75" customHeight="1">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ht="15.75" customHeight="1">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ht="15.75" customHeight="1">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ht="15.75" customHeight="1">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ht="15.75" customHeight="1">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ht="15.75" customHeight="1">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ht="15.75" customHeight="1">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ht="15.75" customHeight="1">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ht="15.75" customHeight="1">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ht="15.75" customHeight="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ht="15.75" customHeight="1">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ht="15.75" customHeight="1">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ht="15.75" customHeight="1">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ht="15.75" customHeight="1">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ht="15.75" customHeight="1">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ht="15.75" customHeight="1">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ht="15.75" customHeight="1">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ht="15.75" customHeight="1">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ht="15.75" customHeight="1">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