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s>
  <definedNames/>
  <calcPr/>
</workbook>
</file>

<file path=xl/sharedStrings.xml><?xml version="1.0" encoding="utf-8"?>
<sst xmlns="http://schemas.openxmlformats.org/spreadsheetml/2006/main" count="649" uniqueCount="214">
  <si>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</si>
  <si>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</si>
  <si>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</si>
  <si>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</si>
  <si>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</si>
  <si>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</si>
  <si>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</si>
  <si>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</si>
  <si>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</si>
  <si>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</si>
  <si>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</si>
  <si>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</si>
  <si>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</si>
  <si>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</si>
  <si>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</si>
  <si>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</si>
  <si>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</si>
  <si>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</si>
  <si>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</si>
  <si>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</si>
  <si>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</si>
  <si>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</si>
  <si>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</si>
  <si>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</si>
  <si>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</si>
  <si>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</si>
  <si>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</si>
  <si>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</si>
  <si>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</si>
  <si>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</si>
  <si>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</si>
  <si>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</si>
  <si>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</si>
  <si>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</si>
  <si>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</si>
  <si>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</si>
  <si>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</si>
  <si>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</si>
  <si>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</si>
  <si>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</si>
  <si>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</si>
  <si>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</si>
  <si>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</si>
  <si>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</si>
  <si>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</si>
  <si>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</si>
  <si>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</si>
  <si>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</si>
  <si>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</si>
  <si>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</si>
  <si>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</si>
  <si>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</si>
  <si>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</si>
  <si>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</si>
  <si>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</si>
  <si>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</si>
  <si>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</si>
  <si>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</si>
  <si>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</si>
  <si>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</si>
  <si>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</si>
  <si>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</si>
  <si>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</si>
  <si>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</si>
  <si>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</si>
  <si>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</si>
  <si>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</si>
  <si>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</si>
  <si>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</si>
  <si>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</si>
  <si>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</si>
  <si>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</si>
  <si>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</si>
  <si>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</si>
  <si>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</si>
  <si>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</si>
  <si>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</si>
  <si>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</si>
  <si>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</si>
  <si>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</si>
  <si>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</si>
  <si>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</si>
  <si>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</si>
  <si>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</si>
  <si>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</si>
  <si>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</si>
  <si>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</si>
  <si>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</si>
  <si>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</si>
  <si>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</si>
  <si>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</si>
  <si>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</si>
  <si>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</si>
  <si>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</si>
  <si>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</si>
  <si>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</si>
  <si>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</si>
  <si>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</si>
  <si>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</si>
  <si>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</si>
  <si>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</si>
  <si>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</si>
  <si>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</si>
  <si>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</si>
  <si>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</si>
  <si>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</si>
  <si>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</si>
  <si>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</si>
  <si>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</si>
  <si>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</si>
  <si>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</si>
  <si>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</si>
  <si>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</si>
  <si>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</si>
  <si>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</si>
  <si>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</si>
  <si>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</si>
  <si>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</si>
  <si>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</si>
  <si>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</si>
  <si>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</si>
  <si>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</si>
  <si>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</si>
  <si>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</si>
  <si>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</si>
  <si>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</si>
  <si>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</si>
  <si>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</si>
  <si>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</si>
  <si>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</si>
  <si>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</si>
  <si>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</si>
  <si>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</si>
  <si>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</si>
  <si>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</si>
  <si>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</si>
  <si>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</si>
  <si>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</si>
  <si>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</si>
  <si>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</si>
  <si>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</si>
  <si>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</si>
  <si>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</si>
  <si>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</si>
  <si>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</si>
  <si>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</si>
  <si>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</si>
  <si>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</si>
  <si>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</si>
  <si>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</si>
  <si>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</si>
  <si>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</si>
  <si>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</si>
  <si>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</si>
  <si>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</si>
  <si>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</si>
  <si>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</si>
  <si>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</si>
  <si>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</si>
  <si>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</si>
  <si>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</si>
  <si>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</si>
  <si>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</si>
  <si>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</si>
  <si>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</si>
  <si>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</si>
  <si>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</si>
  <si>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</si>
  <si>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</si>
  <si>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</si>
  <si>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</si>
  <si>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</si>
  <si>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</si>
  <si>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</si>
  <si>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</si>
  <si>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</si>
  <si>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</si>
  <si>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</si>
  <si>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</si>
  <si>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</si>
  <si>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</si>
  <si>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</si>
  <si>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</si>
  <si>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</si>
  <si>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</si>
  <si>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</si>
  <si>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</si>
  <si>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</si>
  <si>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</si>
  <si>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</si>
  <si>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</si>
  <si>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</si>
  <si>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</si>
  <si>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</si>
  <si>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</si>
  <si>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</si>
  <si>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</si>
  <si>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</si>
  <si>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</si>
  <si>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</si>
  <si>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&lt;p&gt;The course map was created by &lt;a href='https://patrickwalls.github.io/'&gt;Patrick Walls&lt;/a&gt; with contributions from &lt;a href='https://github.com/zzzzzyzzzzz'&gt;Karen Zhou&lt;/a&gt; and &lt;a href='https://github.com/LeoLee5566'&gt;Wuyang Li&lt;/a&gt;.&lt;/p&gt;
&lt;p&gt;&lt;a rel='license' href='http://creativecommons.org/licenses/by-nc-sa/4.0/'&gt;&lt;img alt='Creative Commons Licence' style='border-width:0' src='https://i.creativecommons.org/l/by-nc-sa/4.0/88x31.png' /&gt;&lt;/a&gt;&lt;br /&gt;This work is licensed under a &lt;a rel='license' href='http://creativecommons.org/licenses/by-nc-sa/4.0/'&gt;Creative Commons Attribution-NonCommercial-ShareAlike 4.0 International License&lt;/a&gt;.&lt;/p&gt;</t>
  </si>
  <si>
    <t>Major in Data Science</t>
  </si>
  <si>
    <t>&lt;h3&gt;Major in Data Science - Specialization Requirements&lt;/h3&gt;\n&lt;figure class=\"responsive-figure-table\"&gt;&lt;table&gt;&lt;tbody&gt;&lt;tr&gt;&lt;td&gt;&lt;strong&gt;First Year&lt;/strong&gt;&lt;/td&gt;&lt;td&gt;&amp;nbsp;&lt;/td&gt;&lt;/tr&gt;&lt;tr&gt;&lt;td&gt;CPSC_V 103&lt;/td&gt;&lt;td&gt;3&lt;/td&gt;&lt;/tr&gt;&lt;tr&gt;&lt;td&gt;DSCI_V 100&lt;/td&gt;&lt;td&gt;3&lt;/td&gt;&lt;/tr&gt;&lt;tr&gt;&lt;td&gt;MATH_V 100 (or 180 or 120 or 110)&lt;sup&gt;1&lt;/sup&gt;&lt;/td&gt;&lt;td&gt;3&lt;/td&gt;&lt;/tr&gt;&lt;tr&gt;&lt;td&gt;MATH_V 101 (or 121)&lt;/td&gt;&lt;td&gt;3&lt;/td&gt;&lt;/tr&gt;&lt;tr&gt;&lt;td&gt;SCIE_V 113&lt;/td&gt;&lt;td&gt;3&lt;/td&gt;&lt;/tr&gt;&lt;tr&gt;&lt;td&gt;Additional Communications Requirement&lt;sup&gt;2&lt;/sup&gt;&lt;/td&gt;&lt;td&gt;3&lt;/td&gt;&lt;/tr&gt;&lt;tr&gt;&lt;td&gt;Electives&lt;sup&gt;1&lt;/sup&gt;&lt;/td&gt;&lt;td&gt;12&lt;/td&gt;&lt;/tr&gt;&lt;tr&gt;&lt;td&gt;Total Credits&lt;/td&gt;&lt;td&gt;30&lt;/td&gt;&lt;/tr&gt;&lt;tr&gt;&lt;td&gt;&amp;nbsp;&lt;/td&gt;&lt;td&gt;&amp;nbsp;&lt;/td&gt;&lt;/tr&gt;&lt;tr&gt;&lt;td&gt;&lt;strong&gt;Second Year&lt;/strong&gt;&lt;/td&gt;&lt;td&gt;&amp;nbsp;&lt;/td&gt;&lt;/tr&gt;&lt;tr&gt;&lt;td&gt;DSCI_V 200, 220, 221&lt;/td&gt;&lt;td&gt;11&lt;/td&gt;&lt;/tr&gt;&lt;tr&gt;&lt;td&gt;MATH_V 200, 221&lt;/td&gt;&lt;td&gt;6&lt;/td&gt;&lt;/tr&gt;&lt;tr&gt;&lt;td&gt;STAT_V 201&lt;/td&gt;&lt;td&gt;3&lt;/td&gt;&lt;/tr&gt;&lt;tr&gt;&lt;td&gt;Electives&lt;sup&gt;1&lt;/sup&gt;&lt;/td&gt;&lt;td&gt;10&lt;/td&gt;&lt;/tr&gt;&lt;tr&gt;&lt;td&gt;Total Credits&lt;/td&gt;&lt;td&gt;30&lt;/td&gt;&lt;/tr&gt;&lt;tr&gt;&lt;td&gt;&amp;nbsp;&lt;/td&gt;&lt;td&gt;&amp;nbsp;&lt;/td&gt;&lt;/tr&gt;&lt;tr&gt;&lt;td&gt;&lt;strong&gt;Third and Fourth Year&lt;/strong&gt;&lt;/td&gt;&lt;td&gt;&amp;nbsp;&lt;/td&gt;&lt;/tr&gt;&lt;tr&gt;&lt;td&gt;CPSC_V 330 or 340&lt;/td&gt;&lt;td&gt;3&lt;/td&gt;&lt;/tr&gt;&lt;tr&gt;&lt;td&gt;CPSC_V 368&lt;/td&gt;&lt;td&gt;3&lt;/td&gt;&lt;/tr&gt;&lt;tr&gt;&lt;td&gt;DSCI_V 310, 320, 430&lt;/td&gt;&lt;td&gt;9&lt;/td&gt;&lt;/tr&gt;&lt;tr&gt;&lt;td&gt;STAT_V 301, 302, 305, 443&lt;/td&gt;&lt;td&gt;12&lt;/td&gt;&lt;/tr&gt;&lt;tr&gt;&lt;td&gt;Any Upper level MATH_V, STAT_V, CPSC_V or DSCI_V&lt;sup&gt;3&lt;/sup&gt;&lt;/td&gt;&lt;td&gt;12&lt;/td&gt;&lt;/tr&gt;&lt;tr&gt;&lt;td&gt;Data Science Depth Requirement&lt;sup&gt;4&lt;/sup&gt;&lt;/td&gt;&lt;td&gt;6&lt;/td&gt;&lt;/tr&gt;&lt;tr&gt;&lt;td&gt;Electives&lt;/td&gt;&lt;td&gt;15&lt;/td&gt;&lt;/tr&gt;&lt;tr&gt;&lt;td&gt;Total Credits&lt;/td&gt;&lt;td&gt;60&lt;/td&gt;&lt;/tr&gt;&lt;tr&gt;&lt;td&gt;&lt;em&gt;Total Credits for Degree&lt;/em&gt;&lt;/td&gt;&lt;td&gt;120&lt;/td&gt;&lt;/tr&gt;&lt;tr&gt;&lt;td colspan=\"2\"&gt;&lt;sup&gt;1&lt;/sup&gt; Students are permitted to move elective credits between years. Students who take courses in MATH_V with extra credits will require fewer elective credits in later years.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colspan=\"2\"&gt;&lt;sup&gt;2&lt;/sup&gt; For a full list of acceptable courses see &lt;a href=\"/node/15384\" rel=\"nofollow\"&gt;Communication Requirement&lt;/a&gt;.&lt;/td&gt;&lt;/tr&gt;&lt;tr&gt;&lt;td colspan=\"2\"&gt;&lt;sup&gt;3&lt;/sup&gt; At least 6 credits must be 400-level or higher.&lt;/td&gt;&lt;/tr&gt;&lt;tr&gt;&lt;td colspan=\"2\"&gt;&lt;sup&gt;4&lt;/sup&gt; Students must choose from a list of courses. See the Data Science website for more detail.&lt;/td&gt;&lt;/tr&gt;&lt;/tbody&gt;&lt;/table&gt;&lt;/figure&gt;</t>
  </si>
  <si>
    <t>Minor in Data Science</t>
  </si>
  <si>
    <t>&lt;h3&gt;Minor in Data Science - Requirements&lt;/h3&gt;&lt;h4&gt;Lower-Level Requirements&lt;/h4&gt;&lt;ul&gt;&lt;li&gt;Data Science: 3 credits of DSCI_V 100.&lt;/li&gt;&lt;li&gt;Statistical Inference: 3 credits of STAT_V 201.&lt;/li&gt;&lt;li&gt;Pre-requisites for required upper-level courses&lt;/li&gt;&lt;li&gt;Programming: 6 credits given by the prerequisites for &lt;a href=\"http://www.courses.students.ubc.ca/cs/courseschedule?pname=subjarea&amp;amp;tname=subj-department&amp;amp;dept=CPSC\" rel=\"nofollow\"&gt;CPSC_V 330&lt;/a&gt;. For most non-CS majors, we recommend CPSC_V 103 followed by CPSC_V 203.&lt;/li&gt;&lt;li&gt;Math: 3 credits given by the prerequisites for &lt;a href=\"http://www.courses.students.ubc.ca/cs/courseschedule?pname=subjarea&amp;amp;tname=subj-department&amp;amp;dept=STAT\" rel=\"nofollow\"&gt;STAT_V 301&lt;/a&gt;.&lt;/li&gt;&lt;/ul&gt;&lt;h4&gt;Upper-Level Requirements&lt;/h4&gt;&lt;p&gt;18 credits selected as follows:&lt;/p&gt;&lt;ul&gt;&lt;li&gt;STAT_V 301&lt;/li&gt;&lt;li&gt;CPSC_V 330&lt;/li&gt;&lt;li&gt;One of DSCI_V 430, CPSC_V 430&lt;/li&gt;&lt;li&gt;Three of the following five options:&lt;ul&gt;&lt;li&gt;DSCI_V 310&lt;/li&gt;&lt;li&gt;DSCI_V 320&lt;/li&gt;&lt;li&gt;CPSC_V 416&lt;/li&gt;&lt;li&gt;One of CPSC_V 368, CPSC_V 304, COMM_V 437&lt;/li&gt;&lt;li&gt;One of COMM_V 335, COMM_V 365, COMM_V 414, COMM_V 415, COMM_V 475, CPSC_V 322, CPSC_V 340, CPSC_V 406, CPSC_V 447, ECON_V 398, ECON_V 425, EOSC_V 440, EOSC_V 410, EOSC_V 354, INFO_V 419, LING_V 342, MATH_V 441, MATH_V 442, MICB_V 405, MICB_V 425, NSCI_V 303, PHYS_V 410, PSYC_V 359, STAT_V 406, STAT_V 447B, STAT_V 450&lt;/li&gt;&lt;/ul&gt;&lt;/li&gt;&lt;/ul&gt;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</si>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</sst>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5">
    <font>
      <sz val="11.0"/>
      <color theme="1"/>
      <name val="Calibri"/>
      <scheme val="minor"/>
    </font>
    <font>
      <b/>
      <sz val="11.0"/>
      <color theme="1"/>
      <name val="Calibri"/>
    </font>
    <font>
      <sz val="11.0"/>
      <color theme="1"/>
      <name val="Calibri"/>
    </font>
    <font>
      <color theme="1"/>
      <name val="Calibri"/>
    </font>
    <font>
      <sz val="11.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2" fillId="0" fontId="1" numFmtId="0" xfId="0" applyAlignment="1" applyBorder="1" applyFont="1">
      <alignment horizontal="center" vertical="top"/>
    </xf>
    <xf borderId="0" fillId="0" fontId="4" numFmtId="0" xfId="0" applyFont="1"/>
    <xf borderId="0" fillId="0" fontId="2" numFmtId="0" xfId="0" applyAlignment="1" applyFont="1">
      <alignment horizontal="right" vertical="bottom"/>
    </xf>
    <xf borderId="0" fillId="0" fontId="2" numFmtId="0" xfId="0" applyAlignment="1" applyFont="1">
      <alignment horizontal="right"/>
    </xf>
    <xf borderId="0" fillId="0" fontId="2" numFmtId="0" xfId="0" applyAlignment="1" applyFont="1">
      <alignment readingOrder="0"/>
    </xf>
    <xf borderId="0" fillId="0" fontId="2" numFmtId="164" xfId="0" applyFont="1" applyNumberFormat="1"/>
    <xf borderId="0" fillId="0" fontId="2" numFmtId="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3" t="s">
        <v>119</v>
      </c>
      <c r="B32" s="3">
        <v>4.0</v>
      </c>
      <c r="C32" s="3" t="s">
        <v>120</v>
      </c>
      <c r="D32" s="3" t="s">
        <v>121</v>
      </c>
      <c r="E32" s="3" t="s">
        <v>93</v>
      </c>
    </row>
    <row r="33" ht="15.75" customHeight="1">
      <c r="A33" s="3" t="s">
        <v>122</v>
      </c>
      <c r="B33" s="3">
        <v>3.0</v>
      </c>
      <c r="C33" s="3" t="s">
        <v>123</v>
      </c>
      <c r="D33" s="3" t="s">
        <v>124</v>
      </c>
      <c r="E33" s="3"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5" t="s">
        <v>0</v>
      </c>
      <c r="C1" s="5" t="s">
        <v>126</v>
      </c>
      <c r="D1" s="5" t="s">
        <v>3</v>
      </c>
      <c r="E1" s="6"/>
    </row>
    <row r="2">
      <c r="A2" s="6">
        <v>1.0</v>
      </c>
      <c r="B2" s="6" t="s">
        <v>6</v>
      </c>
      <c r="C2" s="6" t="s">
        <v>127</v>
      </c>
      <c r="D2" s="6" t="s">
        <v>128</v>
      </c>
      <c r="E2" s="6"/>
    </row>
    <row r="3">
      <c r="A3" s="6">
        <v>2.0</v>
      </c>
      <c r="B3" s="6" t="s">
        <v>12</v>
      </c>
      <c r="C3" s="6" t="s">
        <v>127</v>
      </c>
      <c r="D3" s="6" t="s">
        <v>129</v>
      </c>
      <c r="E3" s="6"/>
    </row>
    <row r="4">
      <c r="A4" s="6">
        <v>3.0</v>
      </c>
      <c r="B4" s="6" t="s">
        <v>16</v>
      </c>
      <c r="C4" s="6" t="s">
        <v>127</v>
      </c>
      <c r="D4" s="6" t="s">
        <v>130</v>
      </c>
      <c r="E4" s="6"/>
    </row>
    <row r="5">
      <c r="A5" s="6">
        <v>4.0</v>
      </c>
      <c r="B5" s="6" t="s">
        <v>20</v>
      </c>
      <c r="C5" s="6" t="s">
        <v>127</v>
      </c>
      <c r="D5" s="6" t="s">
        <v>131</v>
      </c>
      <c r="E5" s="6"/>
    </row>
    <row r="6">
      <c r="A6" s="6">
        <v>5.0</v>
      </c>
      <c r="B6" s="6" t="s">
        <v>24</v>
      </c>
      <c r="C6" s="6" t="s">
        <v>127</v>
      </c>
      <c r="D6" s="6" t="s">
        <v>132</v>
      </c>
      <c r="E6" s="6"/>
    </row>
    <row r="7">
      <c r="A7" s="6">
        <v>6.0</v>
      </c>
      <c r="B7" s="6" t="s">
        <v>24</v>
      </c>
      <c r="C7" s="6" t="s">
        <v>127</v>
      </c>
      <c r="D7" s="6" t="s">
        <v>133</v>
      </c>
      <c r="E7" s="6"/>
    </row>
    <row r="8">
      <c r="A8" s="6">
        <v>7.0</v>
      </c>
      <c r="B8" s="6" t="s">
        <v>27</v>
      </c>
      <c r="C8" s="6" t="s">
        <v>127</v>
      </c>
      <c r="D8" s="6" t="s">
        <v>134</v>
      </c>
      <c r="E8" s="6"/>
    </row>
    <row r="9">
      <c r="A9" s="6">
        <v>8.0</v>
      </c>
      <c r="B9" s="6" t="s">
        <v>32</v>
      </c>
      <c r="C9" s="6" t="s">
        <v>127</v>
      </c>
      <c r="D9" s="6" t="s">
        <v>135</v>
      </c>
      <c r="E9" s="6"/>
    </row>
    <row r="10">
      <c r="A10" s="6">
        <v>9.0</v>
      </c>
      <c r="B10" s="6" t="s">
        <v>32</v>
      </c>
      <c r="C10" s="6" t="s">
        <v>127</v>
      </c>
      <c r="D10" s="6" t="s">
        <v>136</v>
      </c>
      <c r="E10" s="6"/>
    </row>
    <row r="11">
      <c r="A11" s="6">
        <v>10.0</v>
      </c>
      <c r="B11" s="6" t="s">
        <v>32</v>
      </c>
      <c r="C11" s="6" t="s">
        <v>127</v>
      </c>
      <c r="D11" s="6" t="s">
        <v>137</v>
      </c>
      <c r="E11" s="6"/>
    </row>
    <row r="12" ht="15.75" customHeight="1">
      <c r="A12" s="6">
        <v>11.0</v>
      </c>
      <c r="B12" s="6" t="s">
        <v>36</v>
      </c>
      <c r="C12" s="6" t="s">
        <v>127</v>
      </c>
      <c r="D12" s="6" t="s">
        <v>138</v>
      </c>
      <c r="E12" s="6"/>
    </row>
    <row r="13" ht="15.75" customHeight="1">
      <c r="A13" s="6">
        <v>12.0</v>
      </c>
      <c r="B13" s="6" t="s">
        <v>39</v>
      </c>
      <c r="C13" s="6" t="s">
        <v>127</v>
      </c>
      <c r="D13" s="6" t="s">
        <v>139</v>
      </c>
      <c r="E13" s="6"/>
    </row>
    <row r="14" ht="15.75" customHeight="1">
      <c r="A14" s="6">
        <v>13.0</v>
      </c>
      <c r="B14" s="6" t="s">
        <v>43</v>
      </c>
      <c r="C14" s="6" t="s">
        <v>127</v>
      </c>
      <c r="D14" s="6" t="s">
        <v>140</v>
      </c>
      <c r="E14" s="6"/>
    </row>
    <row r="15" ht="15.75" customHeight="1">
      <c r="A15" s="6">
        <v>14.0</v>
      </c>
      <c r="B15" s="6" t="s">
        <v>47</v>
      </c>
      <c r="C15" s="6" t="s">
        <v>127</v>
      </c>
      <c r="D15" s="6" t="s">
        <v>130</v>
      </c>
      <c r="E15" s="6"/>
    </row>
    <row r="16" ht="15.75" customHeight="1">
      <c r="A16" s="6">
        <v>15.0</v>
      </c>
      <c r="B16" s="2" t="s">
        <v>51</v>
      </c>
      <c r="C16" s="6" t="s">
        <v>127</v>
      </c>
      <c r="D16" s="2" t="s">
        <v>130</v>
      </c>
    </row>
    <row r="17" ht="15.75" customHeight="1">
      <c r="A17" s="6">
        <v>16.0</v>
      </c>
      <c r="B17" s="2" t="s">
        <v>51</v>
      </c>
      <c r="C17" s="6" t="s">
        <v>141</v>
      </c>
      <c r="D17" s="2" t="s">
        <v>142</v>
      </c>
    </row>
    <row r="18" ht="15.75" customHeight="1">
      <c r="A18" s="6">
        <v>17.0</v>
      </c>
      <c r="B18" s="2" t="s">
        <v>51</v>
      </c>
      <c r="C18" s="6" t="s">
        <v>141</v>
      </c>
      <c r="D18" s="2" t="s">
        <v>135</v>
      </c>
    </row>
    <row r="19" ht="15.75" customHeight="1">
      <c r="A19" s="6">
        <v>18.0</v>
      </c>
      <c r="B19" s="2" t="s">
        <v>54</v>
      </c>
      <c r="C19" s="6" t="s">
        <v>127</v>
      </c>
      <c r="D19" s="2" t="s">
        <v>130</v>
      </c>
    </row>
    <row r="20" ht="15.75" customHeight="1">
      <c r="A20" s="6">
        <v>19.0</v>
      </c>
      <c r="B20" s="2" t="s">
        <v>54</v>
      </c>
      <c r="C20" s="6" t="s">
        <v>127</v>
      </c>
      <c r="D20" s="2" t="s">
        <v>135</v>
      </c>
    </row>
    <row r="21" ht="15.75" customHeight="1">
      <c r="A21" s="6">
        <v>20.0</v>
      </c>
      <c r="B21" s="2" t="s">
        <v>54</v>
      </c>
      <c r="C21" s="6" t="s">
        <v>141</v>
      </c>
      <c r="D21" s="2" t="s">
        <v>143</v>
      </c>
    </row>
    <row r="22" ht="15.75" customHeight="1">
      <c r="A22" s="6">
        <v>21.0</v>
      </c>
      <c r="B22" s="6" t="s">
        <v>57</v>
      </c>
      <c r="C22" s="6" t="s">
        <v>127</v>
      </c>
      <c r="D22" s="6" t="s">
        <v>144</v>
      </c>
      <c r="E22" s="6"/>
    </row>
    <row r="23" ht="15.75" customHeight="1">
      <c r="A23" s="6">
        <v>22.0</v>
      </c>
      <c r="B23" s="6" t="s">
        <v>61</v>
      </c>
      <c r="C23" s="6" t="s">
        <v>127</v>
      </c>
      <c r="D23" s="6" t="s">
        <v>145</v>
      </c>
      <c r="E23" s="6"/>
    </row>
    <row r="24" ht="15.75" customHeight="1">
      <c r="A24" s="6">
        <v>23.0</v>
      </c>
      <c r="B24" s="6" t="s">
        <v>64</v>
      </c>
      <c r="C24" s="6" t="s">
        <v>127</v>
      </c>
      <c r="D24" s="6" t="s">
        <v>129</v>
      </c>
      <c r="E24" s="6"/>
    </row>
    <row r="25" ht="15.75" customHeight="1">
      <c r="A25" s="6">
        <v>24.0</v>
      </c>
      <c r="B25" s="2" t="s">
        <v>67</v>
      </c>
      <c r="C25" s="6" t="s">
        <v>127</v>
      </c>
      <c r="D25" s="6" t="s">
        <v>146</v>
      </c>
      <c r="E25" s="6"/>
    </row>
    <row r="26" ht="15.75" customHeight="1">
      <c r="A26" s="6">
        <v>25.0</v>
      </c>
      <c r="B26" s="2" t="s">
        <v>67</v>
      </c>
      <c r="C26" s="6" t="s">
        <v>127</v>
      </c>
      <c r="D26" s="6" t="s">
        <v>129</v>
      </c>
      <c r="E26" s="6"/>
    </row>
    <row r="27" ht="15.75" customHeight="1">
      <c r="A27" s="6">
        <v>26.0</v>
      </c>
      <c r="B27" s="2" t="s">
        <v>67</v>
      </c>
      <c r="C27" s="6" t="s">
        <v>127</v>
      </c>
      <c r="D27" s="6" t="s">
        <v>147</v>
      </c>
      <c r="E27" s="6"/>
    </row>
    <row r="28" ht="15.75" customHeight="1">
      <c r="A28" s="6">
        <v>27.0</v>
      </c>
      <c r="B28" s="2" t="s">
        <v>71</v>
      </c>
      <c r="C28" s="6" t="s">
        <v>127</v>
      </c>
      <c r="D28" s="6" t="s">
        <v>148</v>
      </c>
      <c r="E28" s="6"/>
    </row>
    <row r="29" ht="15.75" customHeight="1">
      <c r="A29" s="6">
        <v>28.0</v>
      </c>
      <c r="B29" s="2" t="s">
        <v>74</v>
      </c>
      <c r="C29" s="6" t="s">
        <v>127</v>
      </c>
      <c r="D29" s="6" t="s">
        <v>129</v>
      </c>
      <c r="E29" s="6"/>
    </row>
    <row r="30" ht="15.75" customHeight="1">
      <c r="A30" s="6">
        <v>29.0</v>
      </c>
      <c r="B30" s="2" t="s">
        <v>74</v>
      </c>
      <c r="C30" s="6" t="s">
        <v>127</v>
      </c>
      <c r="D30" s="6" t="s">
        <v>149</v>
      </c>
      <c r="E30" s="6"/>
    </row>
    <row r="31" ht="15.75" customHeight="1">
      <c r="A31" s="6">
        <v>30.0</v>
      </c>
      <c r="B31" s="2" t="s">
        <v>78</v>
      </c>
      <c r="C31" s="6" t="s">
        <v>127</v>
      </c>
      <c r="D31" s="6" t="s">
        <v>132</v>
      </c>
      <c r="E31" s="6"/>
    </row>
    <row r="32" ht="15.75" customHeight="1">
      <c r="A32" s="6">
        <v>31.0</v>
      </c>
      <c r="B32" s="2" t="s">
        <v>78</v>
      </c>
      <c r="C32" s="6" t="s">
        <v>127</v>
      </c>
      <c r="D32" s="6" t="s">
        <v>150</v>
      </c>
      <c r="E32" s="6" t="s">
        <v>151</v>
      </c>
    </row>
    <row r="33" ht="15.75" customHeight="1">
      <c r="A33" s="6">
        <v>32.0</v>
      </c>
      <c r="B33" s="2" t="s">
        <v>82</v>
      </c>
      <c r="C33" s="6" t="s">
        <v>127</v>
      </c>
      <c r="D33" s="2" t="s">
        <v>152</v>
      </c>
    </row>
    <row r="34" ht="15.75" customHeight="1">
      <c r="A34" s="6">
        <v>33.0</v>
      </c>
      <c r="B34" s="2" t="s">
        <v>90</v>
      </c>
      <c r="C34" s="6" t="s">
        <v>127</v>
      </c>
      <c r="D34" s="2" t="s">
        <v>153</v>
      </c>
    </row>
    <row r="35" ht="15.75" customHeight="1">
      <c r="A35" s="6">
        <v>34.0</v>
      </c>
      <c r="B35" s="2" t="s">
        <v>98</v>
      </c>
      <c r="C35" s="6" t="s">
        <v>127</v>
      </c>
      <c r="D35" s="2" t="s">
        <v>154</v>
      </c>
    </row>
    <row r="36" ht="15.75" customHeight="1">
      <c r="A36" s="6">
        <v>35.0</v>
      </c>
      <c r="B36" s="2" t="s">
        <v>98</v>
      </c>
      <c r="C36" s="6" t="s">
        <v>141</v>
      </c>
      <c r="D36" s="2" t="s">
        <v>155</v>
      </c>
    </row>
    <row r="37" ht="15.75" customHeight="1">
      <c r="A37" s="6">
        <v>36.0</v>
      </c>
      <c r="B37" s="2" t="s">
        <v>102</v>
      </c>
      <c r="C37" s="6" t="s">
        <v>127</v>
      </c>
      <c r="D37" s="2" t="s">
        <v>156</v>
      </c>
    </row>
    <row r="38" ht="15.75" customHeight="1">
      <c r="A38" s="6">
        <v>37.0</v>
      </c>
      <c r="B38" s="2" t="s">
        <v>106</v>
      </c>
      <c r="C38" s="6" t="s">
        <v>127</v>
      </c>
      <c r="D38" s="3" t="s">
        <v>155</v>
      </c>
    </row>
    <row r="39" ht="15.75" customHeight="1">
      <c r="A39" s="6">
        <v>38.0</v>
      </c>
      <c r="B39" s="2" t="s">
        <v>109</v>
      </c>
      <c r="C39" s="6" t="s">
        <v>127</v>
      </c>
      <c r="D39" s="2" t="s">
        <v>157</v>
      </c>
    </row>
    <row r="40" ht="15.75" customHeight="1">
      <c r="A40" s="6">
        <v>39.0</v>
      </c>
      <c r="B40" s="2" t="s">
        <v>112</v>
      </c>
      <c r="C40" s="6" t="s">
        <v>127</v>
      </c>
      <c r="D40" s="2" t="s">
        <v>158</v>
      </c>
    </row>
    <row r="41" ht="15.75" customHeight="1">
      <c r="A41" s="6">
        <v>40.0</v>
      </c>
      <c r="B41" s="2" t="s">
        <v>112</v>
      </c>
      <c r="C41" s="6" t="s">
        <v>127</v>
      </c>
      <c r="D41" s="2" t="s">
        <v>135</v>
      </c>
    </row>
    <row r="42" ht="15.75" customHeight="1">
      <c r="A42" s="6">
        <v>41.0</v>
      </c>
      <c r="B42" s="2" t="s">
        <v>112</v>
      </c>
      <c r="C42" s="6" t="s">
        <v>127</v>
      </c>
      <c r="D42" s="2" t="s">
        <v>143</v>
      </c>
    </row>
    <row r="43" ht="15.75" customHeight="1">
      <c r="A43" s="6">
        <v>42.0</v>
      </c>
      <c r="B43" s="2" t="s">
        <v>112</v>
      </c>
      <c r="C43" s="6" t="s">
        <v>127</v>
      </c>
      <c r="D43" s="2" t="s">
        <v>159</v>
      </c>
    </row>
    <row r="44" ht="15.75" customHeight="1">
      <c r="A44" s="7">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3">
        <v>44.0</v>
      </c>
      <c r="B45" s="3" t="s">
        <v>119</v>
      </c>
      <c r="C45" s="3" t="s">
        <v>127</v>
      </c>
      <c r="D45" s="3" t="s">
        <v>161</v>
      </c>
    </row>
    <row r="46" ht="15.75" customHeight="1">
      <c r="A46" s="3">
        <v>45.0</v>
      </c>
      <c r="B46" s="3" t="s">
        <v>119</v>
      </c>
      <c r="C46" s="3" t="s">
        <v>127</v>
      </c>
      <c r="D46" s="3" t="s">
        <v>162</v>
      </c>
    </row>
    <row r="47" ht="15.75" customHeight="1">
      <c r="A47" s="3">
        <v>46.0</v>
      </c>
      <c r="B47" s="3" t="s">
        <v>122</v>
      </c>
      <c r="C47" s="3" t="s">
        <v>127</v>
      </c>
      <c r="D47" s="3"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3">
        <v>44.0</v>
      </c>
      <c r="B71" s="3" t="s">
        <v>119</v>
      </c>
      <c r="C71" s="3" t="s">
        <v>106</v>
      </c>
      <c r="D71" s="3">
        <v>1.0</v>
      </c>
    </row>
    <row r="72" ht="15.75" customHeight="1">
      <c r="A72" s="3">
        <v>45.0</v>
      </c>
      <c r="B72" s="3" t="s">
        <v>119</v>
      </c>
      <c r="C72" s="3" t="s">
        <v>98</v>
      </c>
      <c r="D72" s="3">
        <v>1.0</v>
      </c>
    </row>
    <row r="73" ht="15.75" customHeight="1">
      <c r="A73" s="3">
        <v>45.0</v>
      </c>
      <c r="B73" s="3" t="s">
        <v>119</v>
      </c>
      <c r="C73" s="3" t="s">
        <v>122</v>
      </c>
      <c r="D73" s="3">
        <v>1.0</v>
      </c>
    </row>
    <row r="74" ht="15.75" customHeight="1">
      <c r="A74" s="3">
        <v>45.0</v>
      </c>
      <c r="B74" s="3" t="s">
        <v>119</v>
      </c>
      <c r="C74" s="3" t="s">
        <v>47</v>
      </c>
      <c r="D74" s="3">
        <v>0.0</v>
      </c>
    </row>
    <row r="75" ht="15.75" customHeight="1">
      <c r="A75" s="3">
        <v>46.0</v>
      </c>
      <c r="B75" s="3" t="s">
        <v>122</v>
      </c>
      <c r="C75" s="3" t="s">
        <v>43</v>
      </c>
      <c r="D75" s="3">
        <v>1.0</v>
      </c>
    </row>
    <row r="76" ht="15.75" customHeight="1">
      <c r="A76" s="3">
        <v>46.0</v>
      </c>
      <c r="B76" s="3" t="s">
        <v>122</v>
      </c>
      <c r="C76" s="3" t="s">
        <v>47</v>
      </c>
      <c r="D76" s="3">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8">
        <v>1.0</v>
      </c>
      <c r="B2" s="2" t="s">
        <v>199</v>
      </c>
      <c r="C2" s="2" t="s">
        <v>200</v>
      </c>
      <c r="D2" s="2"/>
      <c r="E2" s="2"/>
      <c r="F2" s="2"/>
      <c r="G2" s="2"/>
      <c r="H2" s="2"/>
      <c r="I2" s="2"/>
      <c r="J2" s="2"/>
      <c r="K2" s="2"/>
      <c r="L2" s="2"/>
      <c r="M2" s="2"/>
      <c r="N2" s="2"/>
      <c r="O2" s="2"/>
      <c r="P2" s="2"/>
      <c r="Q2" s="2"/>
      <c r="R2" s="2"/>
      <c r="S2" s="2"/>
      <c r="T2" s="2"/>
      <c r="U2" s="2"/>
      <c r="V2" s="2"/>
      <c r="W2" s="2"/>
      <c r="X2" s="2"/>
    </row>
    <row r="3">
      <c r="A3" s="8">
        <v>2.0</v>
      </c>
      <c r="B3" s="2" t="s">
        <v>201</v>
      </c>
      <c r="C3" s="9" t="s">
        <v>202</v>
      </c>
      <c r="D3" s="2"/>
      <c r="E3" s="2"/>
      <c r="F3" s="2"/>
      <c r="G3" s="2"/>
      <c r="H3" s="2"/>
      <c r="I3" s="2"/>
      <c r="J3" s="2"/>
      <c r="K3" s="2"/>
      <c r="L3" s="2"/>
      <c r="M3" s="2"/>
      <c r="N3" s="2"/>
      <c r="O3" s="2"/>
      <c r="P3" s="2"/>
      <c r="Q3" s="2"/>
      <c r="R3" s="2"/>
      <c r="S3" s="2"/>
      <c r="T3" s="2"/>
      <c r="U3" s="2"/>
      <c r="V3" s="2"/>
      <c r="W3" s="2"/>
      <c r="X3" s="2"/>
    </row>
    <row r="4">
      <c r="A4" s="8">
        <v>3.0</v>
      </c>
      <c r="B4" s="2" t="s">
        <v>203</v>
      </c>
      <c r="C4" s="9" t="s">
        <v>204</v>
      </c>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3">
        <v>6.0</v>
      </c>
      <c r="C2" s="3">
        <v>3.0</v>
      </c>
      <c r="D2" s="2">
        <v>0.0</v>
      </c>
    </row>
    <row r="3">
      <c r="A3" s="2" t="s">
        <v>12</v>
      </c>
      <c r="B3" s="3">
        <v>-2.0</v>
      </c>
      <c r="C3" s="3">
        <v>3.0</v>
      </c>
      <c r="D3" s="2">
        <v>0.0</v>
      </c>
    </row>
    <row r="4">
      <c r="A4" s="2" t="s">
        <v>115</v>
      </c>
      <c r="B4" s="3">
        <v>2.0</v>
      </c>
      <c r="C4" s="3">
        <v>0.0</v>
      </c>
      <c r="D4" s="2">
        <v>0.0</v>
      </c>
    </row>
    <row r="5">
      <c r="A5" s="2" t="s">
        <v>16</v>
      </c>
      <c r="B5" s="3">
        <v>5.0</v>
      </c>
      <c r="C5" s="3">
        <v>6.0</v>
      </c>
      <c r="D5" s="2">
        <v>0.0</v>
      </c>
    </row>
    <row r="6">
      <c r="A6" s="2" t="s">
        <v>20</v>
      </c>
      <c r="B6" s="3">
        <v>4.0</v>
      </c>
      <c r="C6" s="3">
        <v>9.0</v>
      </c>
      <c r="D6" s="2">
        <v>0.0</v>
      </c>
    </row>
    <row r="7">
      <c r="A7" s="2" t="s">
        <v>24</v>
      </c>
      <c r="B7" s="3">
        <v>1.0</v>
      </c>
      <c r="C7" s="3">
        <v>6.0</v>
      </c>
      <c r="D7" s="2">
        <v>0.0</v>
      </c>
    </row>
    <row r="8">
      <c r="A8" s="2" t="s">
        <v>27</v>
      </c>
      <c r="B8" s="3">
        <v>-2.0</v>
      </c>
      <c r="C8" s="3">
        <v>9.0</v>
      </c>
      <c r="D8" s="2">
        <v>0.0</v>
      </c>
    </row>
    <row r="9">
      <c r="A9" s="2" t="s">
        <v>32</v>
      </c>
      <c r="B9" s="3">
        <v>3.0</v>
      </c>
      <c r="C9" s="3">
        <v>12.0</v>
      </c>
      <c r="D9" s="2">
        <v>0.0</v>
      </c>
    </row>
    <row r="10">
      <c r="A10" s="2" t="s">
        <v>36</v>
      </c>
      <c r="B10" s="3">
        <v>0.0</v>
      </c>
      <c r="C10" s="3">
        <v>18.0</v>
      </c>
      <c r="D10" s="2">
        <v>0.0</v>
      </c>
    </row>
    <row r="11">
      <c r="A11" s="2" t="s">
        <v>39</v>
      </c>
      <c r="B11" s="3">
        <v>4.0</v>
      </c>
      <c r="C11" s="3">
        <v>0.0</v>
      </c>
      <c r="D11" s="2">
        <v>0.0</v>
      </c>
    </row>
    <row r="12">
      <c r="A12" s="2" t="s">
        <v>43</v>
      </c>
      <c r="B12" s="3">
        <v>4.0</v>
      </c>
      <c r="C12" s="3">
        <v>3.0</v>
      </c>
      <c r="D12" s="2">
        <v>0.0</v>
      </c>
    </row>
    <row r="13">
      <c r="A13" s="2" t="s">
        <v>47</v>
      </c>
      <c r="B13" s="3">
        <v>3.0</v>
      </c>
      <c r="C13" s="3">
        <v>6.0</v>
      </c>
      <c r="D13" s="2">
        <v>0.0</v>
      </c>
    </row>
    <row r="14">
      <c r="A14" s="2" t="s">
        <v>51</v>
      </c>
      <c r="B14" s="3">
        <v>1.0</v>
      </c>
      <c r="C14" s="3">
        <v>12.0</v>
      </c>
      <c r="D14" s="2">
        <v>0.0</v>
      </c>
    </row>
    <row r="15">
      <c r="A15" s="2" t="s">
        <v>54</v>
      </c>
      <c r="B15" s="3">
        <v>2.0</v>
      </c>
      <c r="C15" s="3">
        <v>9.0</v>
      </c>
      <c r="D15" s="2">
        <v>0.0</v>
      </c>
    </row>
    <row r="16">
      <c r="A16" s="2" t="s">
        <v>122</v>
      </c>
      <c r="B16" s="3">
        <v>0.0</v>
      </c>
      <c r="C16" s="3">
        <v>9.0</v>
      </c>
      <c r="D16" s="2">
        <v>0.0</v>
      </c>
    </row>
    <row r="17">
      <c r="A17" s="2" t="s">
        <v>57</v>
      </c>
      <c r="B17" s="3">
        <v>2.0</v>
      </c>
      <c r="C17" s="3">
        <v>3.0</v>
      </c>
      <c r="D17" s="2">
        <v>0.0</v>
      </c>
    </row>
    <row r="18">
      <c r="A18" s="2" t="s">
        <v>61</v>
      </c>
      <c r="B18" s="3">
        <v>0.0</v>
      </c>
      <c r="C18" s="3">
        <v>0.0</v>
      </c>
      <c r="D18" s="2">
        <v>0.0</v>
      </c>
    </row>
    <row r="19">
      <c r="A19" s="2" t="s">
        <v>64</v>
      </c>
      <c r="B19" s="3">
        <v>0.0</v>
      </c>
      <c r="C19" s="3">
        <v>3.0</v>
      </c>
      <c r="D19" s="2">
        <v>0.0</v>
      </c>
    </row>
    <row r="20">
      <c r="A20" s="2" t="s">
        <v>67</v>
      </c>
      <c r="B20" s="3">
        <v>-1.0</v>
      </c>
      <c r="C20" s="3">
        <v>6.0</v>
      </c>
      <c r="D20" s="2">
        <v>0.0</v>
      </c>
    </row>
    <row r="21" ht="15.75" customHeight="1">
      <c r="A21" s="2" t="s">
        <v>71</v>
      </c>
      <c r="B21" s="3">
        <v>-4.0</v>
      </c>
      <c r="C21" s="3">
        <v>9.0</v>
      </c>
      <c r="D21" s="2">
        <v>0.0</v>
      </c>
    </row>
    <row r="22" ht="15.75" customHeight="1">
      <c r="A22" s="2" t="s">
        <v>74</v>
      </c>
      <c r="B22" s="3">
        <v>0.0</v>
      </c>
      <c r="C22" s="3">
        <v>15.0</v>
      </c>
      <c r="D22" s="2">
        <v>0.0</v>
      </c>
    </row>
    <row r="23" ht="15.75" customHeight="1">
      <c r="A23" s="2" t="s">
        <v>78</v>
      </c>
      <c r="B23" s="3">
        <v>-3.0</v>
      </c>
      <c r="C23" s="3">
        <v>12.0</v>
      </c>
      <c r="D23" s="2">
        <v>0.0</v>
      </c>
    </row>
    <row r="24" ht="15.75" customHeight="1">
      <c r="A24" s="2" t="s">
        <v>82</v>
      </c>
      <c r="B24" s="3">
        <v>0.0</v>
      </c>
      <c r="C24" s="3">
        <v>21.0</v>
      </c>
      <c r="D24" s="2">
        <v>0.0</v>
      </c>
    </row>
    <row r="25" ht="15.75" customHeight="1">
      <c r="A25" s="2" t="s">
        <v>86</v>
      </c>
      <c r="B25" s="3">
        <v>-2.0</v>
      </c>
      <c r="C25" s="3">
        <v>0.0</v>
      </c>
      <c r="D25" s="2">
        <v>0.0</v>
      </c>
    </row>
    <row r="26" ht="15.75" customHeight="1">
      <c r="A26" s="2" t="s">
        <v>90</v>
      </c>
      <c r="B26" s="3">
        <v>-4.0</v>
      </c>
      <c r="C26" s="3">
        <v>3.0</v>
      </c>
      <c r="D26" s="2">
        <v>0.0</v>
      </c>
    </row>
    <row r="27" ht="15.75" customHeight="1">
      <c r="A27" s="2" t="s">
        <v>94</v>
      </c>
      <c r="B27" s="3">
        <v>-4.0</v>
      </c>
      <c r="C27" s="3">
        <v>0.0</v>
      </c>
      <c r="D27" s="2">
        <v>0.0</v>
      </c>
    </row>
    <row r="28" ht="15.75" customHeight="1">
      <c r="A28" s="2" t="s">
        <v>98</v>
      </c>
      <c r="B28" s="3">
        <v>-5.0</v>
      </c>
      <c r="C28" s="3">
        <v>6.0</v>
      </c>
      <c r="D28" s="2">
        <v>0.0</v>
      </c>
    </row>
    <row r="29" ht="15.75" customHeight="1">
      <c r="A29" s="2" t="s">
        <v>102</v>
      </c>
      <c r="B29" s="3">
        <v>-6.0</v>
      </c>
      <c r="C29" s="3">
        <v>3.0</v>
      </c>
      <c r="D29" s="2">
        <v>0.0</v>
      </c>
    </row>
    <row r="30" ht="15.75" customHeight="1">
      <c r="A30" s="2" t="s">
        <v>106</v>
      </c>
      <c r="B30" s="3">
        <v>-3.0</v>
      </c>
      <c r="C30" s="3">
        <v>6.0</v>
      </c>
      <c r="D30" s="2">
        <v>0.0</v>
      </c>
    </row>
    <row r="31" ht="15.75" customHeight="1">
      <c r="A31" s="2" t="s">
        <v>119</v>
      </c>
      <c r="B31" s="3">
        <v>-1.0</v>
      </c>
      <c r="C31" s="3">
        <v>12.0</v>
      </c>
      <c r="D31" s="2">
        <v>0.0</v>
      </c>
    </row>
    <row r="32" ht="15.75" customHeight="1">
      <c r="A32" s="2" t="s">
        <v>109</v>
      </c>
      <c r="B32" s="3">
        <v>-2.0</v>
      </c>
      <c r="C32" s="3">
        <v>15.0</v>
      </c>
      <c r="D32" s="2">
        <v>0.0</v>
      </c>
    </row>
    <row r="33" ht="15.75" customHeight="1">
      <c r="A33" s="2" t="s">
        <v>112</v>
      </c>
      <c r="B33" s="3">
        <v>2.0</v>
      </c>
      <c r="C33" s="3">
        <v>15.0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6</v>
      </c>
      <c r="E2" s="10">
        <f>VLOOKUP(B2,courses_program1!A:C,3,0)</f>
        <v>3</v>
      </c>
      <c r="F2" s="10">
        <f>VLOOKUP(C2,courses_program1!A:C,2,0)</f>
        <v>4</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-2</v>
      </c>
      <c r="E3" s="10">
        <f>VLOOKUP(B3,courses_program1!A:C,3,0)</f>
        <v>3</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5</v>
      </c>
      <c r="E4" s="10">
        <f>VLOOKUP(B4,courses_program1!A:C,3,0)</f>
        <v>6</v>
      </c>
      <c r="F4" s="10">
        <f>VLOOKUP(C4,courses_program1!A:C,2,0)</f>
        <v>4</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4</v>
      </c>
      <c r="E5" s="10">
        <f>VLOOKUP(B5,courses_program1!A:C,3,0)</f>
        <v>9</v>
      </c>
      <c r="F5" s="10">
        <f>VLOOKUP(C5,courses_program1!A:C,2,0)</f>
        <v>6</v>
      </c>
      <c r="G5" s="10">
        <f>VLOOKUP(C5,courses_program1!A:C,3,0)</f>
        <v>3</v>
      </c>
      <c r="H5" s="2">
        <f>course_requisites!D:D</f>
        <v>1</v>
      </c>
      <c r="I5" s="2" t="str">
        <f t="shared" si="1"/>
        <v>S300S200</v>
      </c>
    </row>
    <row r="6">
      <c r="A6" s="2">
        <f>course_requisites!A:A</f>
        <v>4</v>
      </c>
      <c r="B6" s="2" t="str">
        <f>course_requisites!B:B</f>
        <v>S300</v>
      </c>
      <c r="C6" s="11" t="str">
        <f>course_requisites!C:C</f>
        <v>S203</v>
      </c>
      <c r="D6" s="10">
        <f>VLOOKUP(B6,courses_program1!A:C,2,0)</f>
        <v>4</v>
      </c>
      <c r="E6" s="10">
        <f>VLOOKUP(B6,courses_program1!A:C,3,0)</f>
        <v>9</v>
      </c>
      <c r="F6" s="10">
        <f>VLOOKUP(C6,courses_program1!A:C,2,0)</f>
        <v>2</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4</v>
      </c>
      <c r="E7" s="10">
        <f>VLOOKUP(B7,courses_program1!A:C,3,0)</f>
        <v>9</v>
      </c>
      <c r="F7" s="10">
        <f>VLOOKUP(C7,courses_program1!A:C,2,0)</f>
        <v>5</v>
      </c>
      <c r="G7" s="10">
        <f>VLOOKUP(C7,courses_program1!A:C,3,0)</f>
        <v>6</v>
      </c>
      <c r="H7" s="2">
        <f>course_requisites!D:D</f>
        <v>0</v>
      </c>
      <c r="I7" s="2" t="str">
        <f t="shared" si="1"/>
        <v>S300S251</v>
      </c>
    </row>
    <row r="8">
      <c r="A8" s="2">
        <f>course_requisites!A:A</f>
        <v>5</v>
      </c>
      <c r="B8" s="2" t="str">
        <f>course_requisites!B:B</f>
        <v>S301</v>
      </c>
      <c r="C8" s="11" t="str">
        <f>course_requisites!C:C</f>
        <v>S201</v>
      </c>
      <c r="D8" s="10">
        <f>VLOOKUP(B8,courses_program1!A:C,2,0)</f>
        <v>1</v>
      </c>
      <c r="E8" s="10">
        <f>VLOOKUP(B8,courses_program1!A:C,3,0)</f>
        <v>6</v>
      </c>
      <c r="F8" s="10">
        <f>VLOOKUP(C8,courses_program1!A:C,2,0)</f>
        <v>-2</v>
      </c>
      <c r="G8" s="10">
        <f>VLOOKUP(C8,courses_program1!A:C,3,0)</f>
        <v>3</v>
      </c>
      <c r="H8" s="2">
        <f>course_requisites!D:D</f>
        <v>1</v>
      </c>
      <c r="I8" s="2" t="str">
        <f t="shared" si="1"/>
        <v>S301S201</v>
      </c>
    </row>
    <row r="9">
      <c r="A9" s="2">
        <f>course_requisites!A:A</f>
        <v>6</v>
      </c>
      <c r="B9" s="2" t="str">
        <f>course_requisites!B:B</f>
        <v>S301</v>
      </c>
      <c r="C9" s="11" t="str">
        <f>course_requisites!C:C</f>
        <v>M100</v>
      </c>
      <c r="D9" s="10">
        <f>VLOOKUP(B9,courses_program1!A:C,2,0)</f>
        <v>1</v>
      </c>
      <c r="E9" s="10">
        <f>VLOOKUP(B9,courses_program1!A:C,3,0)</f>
        <v>6</v>
      </c>
      <c r="F9" s="10">
        <f>VLOOKUP(C9,courses_program1!A:C,2,0)</f>
        <v>4</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-2</v>
      </c>
      <c r="E10" s="10">
        <f>VLOOKUP(B10,courses_program1!A:C,3,0)</f>
        <v>9</v>
      </c>
      <c r="F10" s="10">
        <f>VLOOKUP(C10,courses_program1!A:C,2,0)</f>
        <v>3</v>
      </c>
      <c r="G10" s="10">
        <f>VLOOKUP(C10,courses_program1!A:C,3,0)</f>
        <v>6</v>
      </c>
      <c r="H10" s="2">
        <f>course_requisites!D:D</f>
        <v>1</v>
      </c>
      <c r="I10" s="2" t="str">
        <f t="shared" si="1"/>
        <v>S302M200</v>
      </c>
    </row>
    <row r="11">
      <c r="A11" s="2">
        <f>course_requisites!A:A</f>
        <v>8</v>
      </c>
      <c r="B11" s="2" t="str">
        <f>course_requisites!B:B</f>
        <v>S306</v>
      </c>
      <c r="C11" s="11" t="str">
        <f>course_requisites!C:C</f>
        <v>M221</v>
      </c>
      <c r="D11" s="10">
        <f>VLOOKUP(B11,courses_program1!A:C,2,0)</f>
        <v>3</v>
      </c>
      <c r="E11" s="10">
        <f>VLOOKUP(B11,courses_program1!A:C,3,0)</f>
        <v>12</v>
      </c>
      <c r="F11" s="10">
        <f>VLOOKUP(C11,courses_program1!A:C,2,0)</f>
        <v>2</v>
      </c>
      <c r="G11" s="10">
        <f>VLOOKUP(C11,courses_program1!A:C,3,0)</f>
        <v>3</v>
      </c>
      <c r="H11" s="2">
        <f>course_requisites!D:D</f>
        <v>1</v>
      </c>
      <c r="I11" s="2" t="str">
        <f t="shared" si="1"/>
        <v>S306M221</v>
      </c>
    </row>
    <row r="12">
      <c r="A12" s="2">
        <f>course_requisites!A:A</f>
        <v>9</v>
      </c>
      <c r="B12" s="2" t="str">
        <f>course_requisites!B:B</f>
        <v>S306</v>
      </c>
      <c r="C12" s="11" t="str">
        <f>course_requisites!C:C</f>
        <v>S200</v>
      </c>
      <c r="D12" s="10">
        <f>VLOOKUP(B12,courses_program1!A:C,2,0)</f>
        <v>3</v>
      </c>
      <c r="E12" s="10">
        <f>VLOOKUP(B12,courses_program1!A:C,3,0)</f>
        <v>12</v>
      </c>
      <c r="F12" s="10">
        <f>VLOOKUP(C12,courses_program1!A:C,2,0)</f>
        <v>6</v>
      </c>
      <c r="G12" s="10">
        <f>VLOOKUP(C12,courses_program1!A:C,3,0)</f>
        <v>3</v>
      </c>
      <c r="H12" s="2">
        <f>course_requisites!D:D</f>
        <v>1</v>
      </c>
      <c r="I12" s="2" t="str">
        <f t="shared" si="1"/>
        <v>S306S200</v>
      </c>
    </row>
    <row r="13">
      <c r="A13" s="2">
        <f>course_requisites!A:A</f>
        <v>9</v>
      </c>
      <c r="B13" s="2" t="str">
        <f>course_requisites!B:B</f>
        <v>S306</v>
      </c>
      <c r="C13" s="11" t="str">
        <f>course_requisites!C:C</f>
        <v>S251</v>
      </c>
      <c r="D13" s="10">
        <f>VLOOKUP(B13,courses_program1!A:C,2,0)</f>
        <v>3</v>
      </c>
      <c r="E13" s="10">
        <f>VLOOKUP(B13,courses_program1!A:C,3,0)</f>
        <v>12</v>
      </c>
      <c r="F13" s="10">
        <f>VLOOKUP(C13,courses_program1!A:C,2,0)</f>
        <v>5</v>
      </c>
      <c r="G13" s="10">
        <f>VLOOKUP(C13,courses_program1!A:C,3,0)</f>
        <v>6</v>
      </c>
      <c r="H13" s="2">
        <f>course_requisites!D:D</f>
        <v>0</v>
      </c>
      <c r="I13" s="2" t="str">
        <f t="shared" si="1"/>
        <v>S306S251</v>
      </c>
    </row>
    <row r="14">
      <c r="A14" s="2">
        <f>course_requisites!A:A</f>
        <v>9</v>
      </c>
      <c r="B14" s="2" t="str">
        <f>course_requisites!B:B</f>
        <v>S306</v>
      </c>
      <c r="C14" s="11" t="str">
        <f>course_requisites!C:C</f>
        <v>S300</v>
      </c>
      <c r="D14" s="10">
        <f>VLOOKUP(B14,courses_program1!A:C,2,0)</f>
        <v>3</v>
      </c>
      <c r="E14" s="10">
        <f>VLOOKUP(B14,courses_program1!A:C,3,0)</f>
        <v>12</v>
      </c>
      <c r="F14" s="10">
        <f>VLOOKUP(C14,courses_program1!A:C,2,0)</f>
        <v>4</v>
      </c>
      <c r="G14" s="10">
        <f>VLOOKUP(C14,courses_program1!A:C,3,0)</f>
        <v>9</v>
      </c>
      <c r="H14" s="2">
        <f>course_requisites!D:D</f>
        <v>0</v>
      </c>
      <c r="I14" s="2" t="str">
        <f t="shared" si="1"/>
        <v>S306S300</v>
      </c>
    </row>
    <row r="15">
      <c r="A15" s="2">
        <f>course_requisites!A:A</f>
        <v>10</v>
      </c>
      <c r="B15" s="2" t="str">
        <f>course_requisites!B:B</f>
        <v>S306</v>
      </c>
      <c r="C15" s="11" t="str">
        <f>course_requisites!C:C</f>
        <v>S302</v>
      </c>
      <c r="D15" s="10">
        <f>VLOOKUP(B15,courses_program1!A:C,2,0)</f>
        <v>3</v>
      </c>
      <c r="E15" s="10">
        <f>VLOOKUP(B15,courses_program1!A:C,3,0)</f>
        <v>12</v>
      </c>
      <c r="F15" s="10">
        <f>VLOOKUP(C15,courses_program1!A:C,2,0)</f>
        <v>-2</v>
      </c>
      <c r="G15" s="10">
        <f>VLOOKUP(C15,courses_program1!A:C,3,0)</f>
        <v>9</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18</v>
      </c>
      <c r="F16" s="10">
        <f>VLOOKUP(C16,courses_program1!A:C,2,0)</f>
        <v>3</v>
      </c>
      <c r="G16" s="10">
        <f>VLOOKUP(C16,courses_program1!A:C,3,0)</f>
        <v>12</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18</v>
      </c>
      <c r="F17" s="10">
        <f>VLOOKUP(C17,courses_program1!A:C,2,0)</f>
        <v>2</v>
      </c>
      <c r="G17" s="10">
        <f>VLOOKUP(C17,courses_program1!A:C,3,0)</f>
        <v>15</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18</v>
      </c>
      <c r="F18" s="10">
        <f>VLOOKUP(C18,courses_program1!A:C,2,0)</f>
        <v>1</v>
      </c>
      <c r="G18" s="10">
        <f>VLOOKUP(C18,courses_program1!A:C,3,0)</f>
        <v>6</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18</v>
      </c>
      <c r="F19" s="10">
        <f>VLOOKUP(C19,courses_program1!A:C,2,0)</f>
        <v>2</v>
      </c>
      <c r="G19" s="10">
        <f>VLOOKUP(C19,courses_program1!A:C,3,0)</f>
        <v>3</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18</v>
      </c>
      <c r="F20" s="10">
        <f>VLOOKUP(C20,courses_program1!A:C,2,0)</f>
        <v>-2</v>
      </c>
      <c r="G20" s="10">
        <f>VLOOKUP(C20,courses_program1!A:C,3,0)</f>
        <v>9</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4</v>
      </c>
      <c r="E21" s="10">
        <f>VLOOKUP(B21,courses_program1!A:C,3,0)</f>
        <v>3</v>
      </c>
      <c r="F21" s="10">
        <f>VLOOKUP(C21,courses_program1!A:C,2,0)</f>
        <v>4</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3</v>
      </c>
      <c r="E22" s="10">
        <f>VLOOKUP(B22,courses_program1!A:C,3,0)</f>
        <v>6</v>
      </c>
      <c r="F22" s="10">
        <f>VLOOKUP(C22,courses_program1!A:C,2,0)</f>
        <v>4</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v>
      </c>
      <c r="E23" s="10">
        <f>VLOOKUP(B23,courses_program1!A:C,3,0)</f>
        <v>12</v>
      </c>
      <c r="F23" s="10">
        <f>VLOOKUP(C23,courses_program1!A:C,2,0)</f>
        <v>4</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v>
      </c>
      <c r="E24" s="10">
        <f>VLOOKUP(B24,courses_program1!A:C,3,0)</f>
        <v>12</v>
      </c>
      <c r="F24" s="10">
        <f>VLOOKUP(C24,courses_program1!A:C,2,0)</f>
        <v>2</v>
      </c>
      <c r="G24" s="10">
        <f>VLOOKUP(C24,courses_program1!A:C,3,0)</f>
        <v>9</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v>
      </c>
      <c r="E25" s="10">
        <f>VLOOKUP(B25,courses_program1!A:C,3,0)</f>
        <v>12</v>
      </c>
      <c r="F25" s="10">
        <f>VLOOKUP(C25,courses_program1!A:C,2,0)</f>
        <v>2</v>
      </c>
      <c r="G25" s="10">
        <f>VLOOKUP(C25,courses_program1!A:C,3,0)</f>
        <v>3</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2</v>
      </c>
      <c r="E26" s="10">
        <f>VLOOKUP(B26,courses_program1!A:C,3,0)</f>
        <v>9</v>
      </c>
      <c r="F26" s="10">
        <f>VLOOKUP(C26,courses_program1!A:C,2,0)</f>
        <v>4</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2</v>
      </c>
      <c r="E27" s="10">
        <f>VLOOKUP(B27,courses_program1!A:C,3,0)</f>
        <v>9</v>
      </c>
      <c r="F27" s="10">
        <f>VLOOKUP(C27,courses_program1!A:C,2,0)</f>
        <v>2</v>
      </c>
      <c r="G27" s="10">
        <f>VLOOKUP(C27,courses_program1!A:C,3,0)</f>
        <v>3</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2</v>
      </c>
      <c r="E28" s="10">
        <f>VLOOKUP(B28,courses_program1!A:C,3,0)</f>
        <v>9</v>
      </c>
      <c r="F28" s="10">
        <f>VLOOKUP(C28,courses_program1!A:C,2,0)</f>
        <v>3</v>
      </c>
      <c r="G28" s="10">
        <f>VLOOKUP(C28,courses_program1!A:C,3,0)</f>
        <v>6</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v>
      </c>
      <c r="E29" s="10">
        <f>VLOOKUP(B29,courses_program1!A:C,3,0)</f>
        <v>3</v>
      </c>
      <c r="F29" s="10">
        <f>VLOOKUP(C29,courses_program1!A:C,2,0)</f>
        <v>4</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0</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v>
      </c>
      <c r="E31" s="10">
        <f>VLOOKUP(B31,courses_program1!A:C,3,0)</f>
        <v>6</v>
      </c>
      <c r="F31" s="10">
        <f>VLOOKUP(C31,courses_program1!A:C,2,0)</f>
        <v>4</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v>
      </c>
      <c r="E32" s="10">
        <f>VLOOKUP(B32,courses_program1!A:C,3,0)</f>
        <v>6</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v>
      </c>
      <c r="E33" s="10">
        <f>VLOOKUP(B33,courses_program1!A:C,3,0)</f>
        <v>6</v>
      </c>
      <c r="F33" s="10">
        <f>VLOOKUP(C33,courses_program1!A:C,2,0)</f>
        <v>-2</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v>
      </c>
      <c r="E34" s="10">
        <f>VLOOKUP(B34,courses_program1!A:C,3,0)</f>
        <v>6</v>
      </c>
      <c r="F34" s="10">
        <f>VLOOKUP(C34,courses_program1!A:C,2,0)</f>
        <v>-6</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-4</v>
      </c>
      <c r="E35" s="10">
        <f>VLOOKUP(B35,courses_program1!A:C,3,0)</f>
        <v>9</v>
      </c>
      <c r="F35" s="10">
        <f>VLOOKUP(C35,courses_program1!A:C,2,0)</f>
        <v>-1</v>
      </c>
      <c r="G35" s="10">
        <f>VLOOKUP(C35,courses_program1!A:C,3,0)</f>
        <v>6</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-4</v>
      </c>
      <c r="E36" s="10">
        <f>VLOOKUP(B36,courses_program1!A:C,3,0)</f>
        <v>9</v>
      </c>
      <c r="F36" s="10">
        <f>VLOOKUP(C36,courses_program1!A:C,2,0)</f>
        <v>-5</v>
      </c>
      <c r="G36" s="10">
        <f>VLOOKUP(C36,courses_program1!A:C,3,0)</f>
        <v>6</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-4</v>
      </c>
      <c r="E37" s="10">
        <f>VLOOKUP(B37,courses_program1!A:C,3,0)</f>
        <v>9</v>
      </c>
      <c r="F37" s="10">
        <f>VLOOKUP(C37,courses_program1!A:C,2,0)</f>
        <v>-6</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0</v>
      </c>
      <c r="E38" s="10">
        <f>VLOOKUP(B38,courses_program1!A:C,3,0)</f>
        <v>15</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0</v>
      </c>
      <c r="E39" s="10">
        <f>VLOOKUP(B39,courses_program1!A:C,3,0)</f>
        <v>15</v>
      </c>
      <c r="F39" s="10">
        <f>VLOOKUP(C39,courses_program1!A:C,2,0)</f>
        <v>-6</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0</v>
      </c>
      <c r="E40" s="10">
        <f>VLOOKUP(B40,courses_program1!A:C,3,0)</f>
        <v>15</v>
      </c>
      <c r="F40" s="10">
        <f>VLOOKUP(C40,courses_program1!A:C,2,0)</f>
        <v>-3</v>
      </c>
      <c r="G40" s="10">
        <f>VLOOKUP(C40,courses_program1!A:C,3,0)</f>
        <v>6</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0</v>
      </c>
      <c r="E41" s="10">
        <f>VLOOKUP(B41,courses_program1!A:C,3,0)</f>
        <v>15</v>
      </c>
      <c r="F41" s="10">
        <f>VLOOKUP(C41,courses_program1!A:C,2,0)</f>
        <v>1</v>
      </c>
      <c r="G41" s="10">
        <f>VLOOKUP(C41,courses_program1!A:C,3,0)</f>
        <v>12</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0</v>
      </c>
      <c r="E42" s="10">
        <f>VLOOKUP(B42,courses_program1!A:C,3,0)</f>
        <v>15</v>
      </c>
      <c r="F42" s="10">
        <f>VLOOKUP(C42,courses_program1!A:C,2,0)</f>
        <v>-4</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0</v>
      </c>
      <c r="E43" s="10">
        <f>VLOOKUP(B43,courses_program1!A:C,3,0)</f>
        <v>15</v>
      </c>
      <c r="F43" s="10">
        <f>VLOOKUP(C43,courses_program1!A:C,2,0)</f>
        <v>-4</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-3</v>
      </c>
      <c r="E44" s="10">
        <f>VLOOKUP(B44,courses_program1!A:C,3,0)</f>
        <v>12</v>
      </c>
      <c r="F44" s="10">
        <f>VLOOKUP(C44,courses_program1!A:C,2,0)</f>
        <v>-2</v>
      </c>
      <c r="G44" s="10">
        <f>VLOOKUP(C44,courses_program1!A:C,3,0)</f>
        <v>3</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-3</v>
      </c>
      <c r="E45" s="10">
        <f>VLOOKUP(B45,courses_program1!A:C,3,0)</f>
        <v>12</v>
      </c>
      <c r="F45" s="10">
        <f>VLOOKUP(C45,courses_program1!A:C,2,0)</f>
        <v>-6</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-3</v>
      </c>
      <c r="E46" s="10">
        <f>VLOOKUP(B46,courses_program1!A:C,3,0)</f>
        <v>12</v>
      </c>
      <c r="F46" s="10">
        <f>VLOOKUP(C46,courses_program1!A:C,2,0)</f>
        <v>-3</v>
      </c>
      <c r="G46" s="10">
        <f>VLOOKUP(C46,courses_program1!A:C,3,0)</f>
        <v>6</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-3</v>
      </c>
      <c r="E47" s="10">
        <f>VLOOKUP(B47,courses_program1!A:C,3,0)</f>
        <v>12</v>
      </c>
      <c r="F47" s="10">
        <f>VLOOKUP(C47,courses_program1!A:C,2,0)</f>
        <v>-4</v>
      </c>
      <c r="G47" s="10">
        <f>VLOOKUP(C47,courses_program1!A:C,3,0)</f>
        <v>9</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21</v>
      </c>
      <c r="F48" s="10">
        <f>VLOOKUP(C48,courses_program1!A:C,2,0)</f>
        <v>-2</v>
      </c>
      <c r="G48" s="10">
        <f>VLOOKUP(C48,courses_program1!A:C,3,0)</f>
        <v>15</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21</v>
      </c>
      <c r="F49" s="10">
        <f>VLOOKUP(C49,courses_program1!A:C,2,0)</f>
        <v>2</v>
      </c>
      <c r="G49" s="10">
        <f>VLOOKUP(C49,courses_program1!A:C,3,0)</f>
        <v>15</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21</v>
      </c>
      <c r="F50" s="10">
        <f>VLOOKUP(C50,courses_program1!A:C,2,0)</f>
        <v>1</v>
      </c>
      <c r="G50" s="10">
        <f>VLOOKUP(C50,courses_program1!A:C,3,0)</f>
        <v>6</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21</v>
      </c>
      <c r="F51" s="10">
        <f>VLOOKUP(C51,courses_program1!A:C,2,0)</f>
        <v>0</v>
      </c>
      <c r="G51" s="10">
        <f>VLOOKUP(C51,courses_program1!A:C,3,0)</f>
        <v>18</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-4</v>
      </c>
      <c r="E52" s="10">
        <f>VLOOKUP(B52,courses_program1!A:C,3,0)</f>
        <v>3</v>
      </c>
      <c r="F52" s="10">
        <f>VLOOKUP(C52,courses_program1!A:C,2,0)</f>
        <v>-2</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-5</v>
      </c>
      <c r="E53" s="10">
        <f>VLOOKUP(B53,courses_program1!A:C,3,0)</f>
        <v>6</v>
      </c>
      <c r="F53" s="10">
        <f>VLOOKUP(C53,courses_program1!A:C,2,0)</f>
        <v>-4</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-5</v>
      </c>
      <c r="E54" s="10">
        <f>VLOOKUP(B54,courses_program1!A:C,3,0)</f>
        <v>6</v>
      </c>
      <c r="F54" s="10">
        <f>VLOOKUP(C54,courses_program1!A:C,2,0)</f>
        <v>-4</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-6</v>
      </c>
      <c r="E55" s="10">
        <f>VLOOKUP(B55,courses_program1!A:C,3,0)</f>
        <v>3</v>
      </c>
      <c r="F55" s="10">
        <f>VLOOKUP(C55,courses_program1!A:C,2,0)</f>
        <v>-2</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-6</v>
      </c>
      <c r="E56" s="10">
        <f>VLOOKUP(B56,courses_program1!A:C,3,0)</f>
        <v>3</v>
      </c>
      <c r="F56" s="10">
        <f>VLOOKUP(C56,courses_program1!A:C,2,0)</f>
        <v>-4</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-3</v>
      </c>
      <c r="E57" s="10">
        <f>VLOOKUP(B57,courses_program1!A:C,3,0)</f>
        <v>6</v>
      </c>
      <c r="F57" s="10">
        <f>VLOOKUP(C57,courses_program1!A:C,2,0)</f>
        <v>-4</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-3</v>
      </c>
      <c r="E58" s="10">
        <f>VLOOKUP(B58,courses_program1!A:C,3,0)</f>
        <v>6</v>
      </c>
      <c r="F58" s="10">
        <f>VLOOKUP(C58,courses_program1!A:C,2,0)</f>
        <v>-4</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-2</v>
      </c>
      <c r="E59" s="10">
        <f>VLOOKUP(B59,courses_program1!A:C,3,0)</f>
        <v>15</v>
      </c>
      <c r="F59" s="10">
        <f>VLOOKUP(C59,courses_program1!A:C,2,0)</f>
        <v>-6</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-2</v>
      </c>
      <c r="E60" s="10">
        <f>VLOOKUP(B60,courses_program1!A:C,3,0)</f>
        <v>15</v>
      </c>
      <c r="F60" s="10">
        <f>VLOOKUP(C60,courses_program1!A:C,2,0)</f>
        <v>-3</v>
      </c>
      <c r="G60" s="10">
        <f>VLOOKUP(C60,courses_program1!A:C,3,0)</f>
        <v>6</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-2</v>
      </c>
      <c r="E61" s="10">
        <f>VLOOKUP(B61,courses_program1!A:C,3,0)</f>
        <v>15</v>
      </c>
      <c r="F61" s="10">
        <f>VLOOKUP(C61,courses_program1!A:C,2,0)</f>
        <v>-4</v>
      </c>
      <c r="G61" s="10">
        <f>VLOOKUP(C61,courses_program1!A:C,3,0)</f>
        <v>9</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-2</v>
      </c>
      <c r="E62" s="10">
        <f>VLOOKUP(B62,courses_program1!A:C,3,0)</f>
        <v>15</v>
      </c>
      <c r="F62" s="10">
        <f>VLOOKUP(C62,courses_program1!A:C,2,0)</f>
        <v>1</v>
      </c>
      <c r="G62" s="10">
        <f>VLOOKUP(C62,courses_program1!A:C,3,0)</f>
        <v>12</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-2</v>
      </c>
      <c r="E63" s="10">
        <f>VLOOKUP(B63,courses_program1!A:C,3,0)</f>
        <v>15</v>
      </c>
      <c r="F63" s="10">
        <f>VLOOKUP(C63,courses_program1!A:C,2,0)</f>
        <v>-4</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-2</v>
      </c>
      <c r="E64" s="10">
        <f>VLOOKUP(B64,courses_program1!A:C,3,0)</f>
        <v>15</v>
      </c>
      <c r="F64" s="10">
        <f>VLOOKUP(C64,courses_program1!A:C,2,0)</f>
        <v>-4</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2</v>
      </c>
      <c r="E65" s="10">
        <f>VLOOKUP(B65,courses_program1!A:C,3,0)</f>
        <v>15</v>
      </c>
      <c r="F65" s="10">
        <f>VLOOKUP(C65,courses_program1!A:C,2,0)</f>
        <v>-1</v>
      </c>
      <c r="G65" s="10">
        <f>VLOOKUP(C65,courses_program1!A:C,3,0)</f>
        <v>12</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2</v>
      </c>
      <c r="E66" s="10">
        <f>VLOOKUP(B66,courses_program1!A:C,3,0)</f>
        <v>15</v>
      </c>
      <c r="F66" s="10">
        <f>VLOOKUP(C66,courses_program1!A:C,2,0)</f>
        <v>-4</v>
      </c>
      <c r="G66" s="10">
        <f>VLOOKUP(C66,courses_program1!A:C,3,0)</f>
        <v>9</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2</v>
      </c>
      <c r="E67" s="10">
        <f>VLOOKUP(B67,courses_program1!A:C,3,0)</f>
        <v>15</v>
      </c>
      <c r="F67" s="10">
        <f>VLOOKUP(C67,courses_program1!A:C,2,0)</f>
        <v>2</v>
      </c>
      <c r="G67" s="10">
        <f>VLOOKUP(C67,courses_program1!A:C,3,0)</f>
        <v>3</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2</v>
      </c>
      <c r="E68" s="10">
        <f>VLOOKUP(B68,courses_program1!A:C,3,0)</f>
        <v>15</v>
      </c>
      <c r="F68" s="10">
        <f>VLOOKUP(C68,courses_program1!A:C,2,0)</f>
        <v>3</v>
      </c>
      <c r="G68" s="10">
        <f>VLOOKUP(C68,courses_program1!A:C,3,0)</f>
        <v>6</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2</v>
      </c>
      <c r="E69" s="10">
        <f>VLOOKUP(B69,courses_program1!A:C,3,0)</f>
        <v>15</v>
      </c>
      <c r="F69" s="10">
        <f>VLOOKUP(C69,courses_program1!A:C,2,0)</f>
        <v>5</v>
      </c>
      <c r="G69" s="10">
        <f>VLOOKUP(C69,courses_program1!A:C,3,0)</f>
        <v>6</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2</v>
      </c>
      <c r="E70" s="10">
        <f>VLOOKUP(B70,courses_program1!A:C,3,0)</f>
        <v>15</v>
      </c>
      <c r="F70" s="10">
        <f>VLOOKUP(C70,courses_program1!A:C,2,0)</f>
        <v>-2</v>
      </c>
      <c r="G70" s="10">
        <f>VLOOKUP(C70,courses_program1!A:C,3,0)</f>
        <v>9</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-1</v>
      </c>
      <c r="E71" s="10">
        <f>VLOOKUP(B71,courses_program1!A:C,3,0)</f>
        <v>12</v>
      </c>
      <c r="F71" s="10">
        <f>VLOOKUP(C71,courses_program1!A:C,2,0)</f>
        <v>-3</v>
      </c>
      <c r="G71" s="10">
        <f>VLOOKUP(C71,courses_program1!A:C,3,0)</f>
        <v>6</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-1</v>
      </c>
      <c r="E72" s="10">
        <f>VLOOKUP(B72,courses_program1!A:C,3,0)</f>
        <v>12</v>
      </c>
      <c r="F72" s="10">
        <f>VLOOKUP(C72,courses_program1!A:C,2,0)</f>
        <v>-5</v>
      </c>
      <c r="G72" s="10">
        <f>VLOOKUP(C72,courses_program1!A:C,3,0)</f>
        <v>6</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-1</v>
      </c>
      <c r="E73" s="10">
        <f>VLOOKUP(B73,courses_program1!A:C,3,0)</f>
        <v>12</v>
      </c>
      <c r="F73" s="10">
        <f>VLOOKUP(C73,courses_program1!A:C,2,0)</f>
        <v>0</v>
      </c>
      <c r="G73" s="10">
        <f>VLOOKUP(C73,courses_program1!A:C,3,0)</f>
        <v>9</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-1</v>
      </c>
      <c r="E74" s="10">
        <f>VLOOKUP(B74,courses_program1!A:C,3,0)</f>
        <v>12</v>
      </c>
      <c r="F74" s="10">
        <f>VLOOKUP(C74,courses_program1!A:C,2,0)</f>
        <v>3</v>
      </c>
      <c r="G74" s="10">
        <f>VLOOKUP(C74,courses_program1!A:C,3,0)</f>
        <v>6</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9</v>
      </c>
      <c r="F75" s="10">
        <f>VLOOKUP(C75,courses_program1!A:C,2,0)</f>
        <v>4</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9</v>
      </c>
      <c r="F76" s="10">
        <f>VLOOKUP(C76,courses_program1!A:C,2,0)</f>
        <v>3</v>
      </c>
      <c r="G76" s="10">
        <f>VLOOKUP(C76,courses_program1!A:C,3,0)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3">
        <v>6.0</v>
      </c>
      <c r="C2" s="3">
        <v>3.0</v>
      </c>
      <c r="D2" s="2">
        <v>0.0</v>
      </c>
    </row>
    <row r="3">
      <c r="A3" s="2" t="s">
        <v>12</v>
      </c>
      <c r="B3" s="3">
        <v>-2.0</v>
      </c>
      <c r="C3" s="3">
        <v>3.0</v>
      </c>
      <c r="D3" s="2">
        <v>1.0</v>
      </c>
    </row>
    <row r="4">
      <c r="A4" s="2" t="s">
        <v>115</v>
      </c>
      <c r="B4" s="3">
        <v>2.0</v>
      </c>
      <c r="C4" s="3">
        <v>0.0</v>
      </c>
      <c r="D4" s="2">
        <v>0.0</v>
      </c>
    </row>
    <row r="5">
      <c r="A5" s="2" t="s">
        <v>16</v>
      </c>
      <c r="B5" s="3">
        <v>5.0</v>
      </c>
      <c r="C5" s="3">
        <v>6.0</v>
      </c>
      <c r="D5" s="2">
        <v>0.0</v>
      </c>
    </row>
    <row r="6">
      <c r="A6" s="2" t="s">
        <v>20</v>
      </c>
      <c r="B6" s="3">
        <v>4.0</v>
      </c>
      <c r="C6" s="3">
        <v>9.0</v>
      </c>
      <c r="D6" s="2">
        <v>0.0</v>
      </c>
    </row>
    <row r="7">
      <c r="A7" s="2" t="s">
        <v>24</v>
      </c>
      <c r="B7" s="3">
        <v>1.0</v>
      </c>
      <c r="C7" s="3">
        <v>6.0</v>
      </c>
      <c r="D7" s="2">
        <v>1.0</v>
      </c>
    </row>
    <row r="8">
      <c r="A8" s="2" t="s">
        <v>27</v>
      </c>
      <c r="B8" s="3">
        <v>-2.0</v>
      </c>
      <c r="C8" s="3">
        <v>9.0</v>
      </c>
      <c r="D8" s="2">
        <v>1.0</v>
      </c>
    </row>
    <row r="9">
      <c r="A9" s="2" t="s">
        <v>32</v>
      </c>
      <c r="B9" s="3">
        <v>3.0</v>
      </c>
      <c r="C9" s="3">
        <v>12.0</v>
      </c>
      <c r="D9" s="2">
        <v>0.0</v>
      </c>
    </row>
    <row r="10">
      <c r="A10" s="2" t="s">
        <v>36</v>
      </c>
      <c r="B10" s="3">
        <v>0.0</v>
      </c>
      <c r="C10" s="3">
        <v>18.0</v>
      </c>
      <c r="D10" s="2">
        <v>0.0</v>
      </c>
    </row>
    <row r="11">
      <c r="A11" s="2" t="s">
        <v>39</v>
      </c>
      <c r="B11" s="3">
        <v>4.0</v>
      </c>
      <c r="C11" s="3">
        <v>0.0</v>
      </c>
      <c r="D11" s="2">
        <v>1.0</v>
      </c>
    </row>
    <row r="12">
      <c r="A12" s="2" t="s">
        <v>43</v>
      </c>
      <c r="B12" s="3">
        <v>4.0</v>
      </c>
      <c r="C12" s="3">
        <v>3.0</v>
      </c>
      <c r="D12" s="2">
        <v>1.0</v>
      </c>
    </row>
    <row r="13">
      <c r="A13" s="2" t="s">
        <v>47</v>
      </c>
      <c r="B13" s="3">
        <v>3.0</v>
      </c>
      <c r="C13" s="3">
        <v>6.0</v>
      </c>
      <c r="D13" s="2">
        <v>1.0</v>
      </c>
    </row>
    <row r="14">
      <c r="A14" s="2" t="s">
        <v>51</v>
      </c>
      <c r="B14" s="3">
        <v>1.0</v>
      </c>
      <c r="C14" s="3">
        <v>12.0</v>
      </c>
      <c r="D14" s="2">
        <v>0.0</v>
      </c>
    </row>
    <row r="15">
      <c r="A15" s="2" t="s">
        <v>54</v>
      </c>
      <c r="B15" s="3">
        <v>2.0</v>
      </c>
      <c r="C15" s="3">
        <v>9.0</v>
      </c>
      <c r="D15" s="2">
        <v>0.0</v>
      </c>
    </row>
    <row r="16">
      <c r="A16" s="2" t="s">
        <v>122</v>
      </c>
      <c r="B16" s="3">
        <v>0.0</v>
      </c>
      <c r="C16" s="3">
        <v>9.0</v>
      </c>
      <c r="D16" s="2">
        <v>0.0</v>
      </c>
    </row>
    <row r="17">
      <c r="A17" s="2" t="s">
        <v>57</v>
      </c>
      <c r="B17" s="3">
        <v>2.0</v>
      </c>
      <c r="C17" s="3">
        <v>3.0</v>
      </c>
      <c r="D17" s="2">
        <v>1.0</v>
      </c>
    </row>
    <row r="18">
      <c r="A18" s="2" t="s">
        <v>61</v>
      </c>
      <c r="B18" s="3">
        <v>0.0</v>
      </c>
      <c r="C18" s="3">
        <v>0.0</v>
      </c>
      <c r="D18" s="2">
        <v>1.0</v>
      </c>
    </row>
    <row r="19">
      <c r="A19" s="2" t="s">
        <v>64</v>
      </c>
      <c r="B19" s="3">
        <v>0.0</v>
      </c>
      <c r="C19" s="3">
        <v>3.0</v>
      </c>
      <c r="D19" s="2">
        <v>1.0</v>
      </c>
    </row>
    <row r="20">
      <c r="A20" s="2" t="s">
        <v>67</v>
      </c>
      <c r="B20" s="3">
        <v>-1.0</v>
      </c>
      <c r="C20" s="3">
        <v>6.0</v>
      </c>
      <c r="D20" s="2">
        <v>1.0</v>
      </c>
    </row>
    <row r="21" ht="15.75" customHeight="1">
      <c r="A21" s="2" t="s">
        <v>71</v>
      </c>
      <c r="B21" s="3">
        <v>-4.0</v>
      </c>
      <c r="C21" s="3">
        <v>9.0</v>
      </c>
      <c r="D21" s="2">
        <v>1.0</v>
      </c>
    </row>
    <row r="22" ht="15.75" customHeight="1">
      <c r="A22" s="2" t="s">
        <v>74</v>
      </c>
      <c r="B22" s="3">
        <v>0.0</v>
      </c>
      <c r="C22" s="3">
        <v>15.0</v>
      </c>
      <c r="D22" s="2">
        <v>1.0</v>
      </c>
    </row>
    <row r="23" ht="15.75" customHeight="1">
      <c r="A23" s="2" t="s">
        <v>78</v>
      </c>
      <c r="B23" s="3">
        <v>-3.0</v>
      </c>
      <c r="C23" s="3">
        <v>12.0</v>
      </c>
      <c r="D23" s="2">
        <v>1.0</v>
      </c>
    </row>
    <row r="24" ht="15.75" customHeight="1">
      <c r="A24" s="2" t="s">
        <v>82</v>
      </c>
      <c r="B24" s="3">
        <v>0.0</v>
      </c>
      <c r="C24" s="3">
        <v>21.0</v>
      </c>
      <c r="D24" s="2">
        <v>1.0</v>
      </c>
    </row>
    <row r="25" ht="15.75" customHeight="1">
      <c r="A25" s="2" t="s">
        <v>86</v>
      </c>
      <c r="B25" s="3">
        <v>-2.0</v>
      </c>
      <c r="C25" s="3">
        <v>0.0</v>
      </c>
      <c r="D25" s="2">
        <v>1.0</v>
      </c>
    </row>
    <row r="26" ht="15.75" customHeight="1">
      <c r="A26" s="2" t="s">
        <v>90</v>
      </c>
      <c r="B26" s="3">
        <v>-4.0</v>
      </c>
      <c r="C26" s="3">
        <v>3.0</v>
      </c>
      <c r="D26" s="2">
        <v>0.0</v>
      </c>
    </row>
    <row r="27" ht="15.75" customHeight="1">
      <c r="A27" s="2" t="s">
        <v>94</v>
      </c>
      <c r="B27" s="3">
        <v>-4.0</v>
      </c>
      <c r="C27" s="3">
        <v>0.0</v>
      </c>
      <c r="D27" s="2">
        <v>0.0</v>
      </c>
    </row>
    <row r="28" ht="15.75" customHeight="1">
      <c r="A28" s="2" t="s">
        <v>98</v>
      </c>
      <c r="B28" s="3">
        <v>-5.0</v>
      </c>
      <c r="C28" s="3">
        <v>6.0</v>
      </c>
      <c r="D28" s="2">
        <v>0.0</v>
      </c>
    </row>
    <row r="29" ht="15.75" customHeight="1">
      <c r="A29" s="2" t="s">
        <v>102</v>
      </c>
      <c r="B29" s="3">
        <v>-6.0</v>
      </c>
      <c r="C29" s="3">
        <v>3.0</v>
      </c>
      <c r="D29" s="2">
        <v>0.0</v>
      </c>
    </row>
    <row r="30" ht="15.75" customHeight="1">
      <c r="A30" s="2" t="s">
        <v>106</v>
      </c>
      <c r="B30" s="3">
        <v>-3.0</v>
      </c>
      <c r="C30" s="3">
        <v>6.0</v>
      </c>
      <c r="D30" s="2">
        <v>0.0</v>
      </c>
    </row>
    <row r="31" ht="15.75" customHeight="1">
      <c r="A31" s="2" t="s">
        <v>119</v>
      </c>
      <c r="B31" s="3">
        <v>-1.0</v>
      </c>
      <c r="C31" s="3">
        <v>12.0</v>
      </c>
      <c r="D31" s="2">
        <v>0.0</v>
      </c>
    </row>
    <row r="32" ht="15.75" customHeight="1">
      <c r="A32" s="2" t="s">
        <v>109</v>
      </c>
      <c r="B32" s="3">
        <v>-2.0</v>
      </c>
      <c r="C32" s="3">
        <v>15.0</v>
      </c>
      <c r="D32" s="2">
        <v>1.0</v>
      </c>
    </row>
    <row r="33" ht="15.75" customHeight="1">
      <c r="A33" s="2" t="s">
        <v>112</v>
      </c>
      <c r="B33" s="3">
        <v>2.0</v>
      </c>
      <c r="C33" s="3">
        <v>15.0</v>
      </c>
      <c r="D33" s="2">
        <v>1.0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6</v>
      </c>
      <c r="E2" s="10">
        <f>VLOOKUP(B2,courses_program1!A:C,3,0)</f>
        <v>3</v>
      </c>
      <c r="F2" s="10">
        <f>VLOOKUP(C2,courses_program1!A:C,2,0)</f>
        <v>4</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-2</v>
      </c>
      <c r="E3" s="10">
        <f>VLOOKUP(B3,courses_program1!A:C,3,0)</f>
        <v>3</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5</v>
      </c>
      <c r="E4" s="10">
        <f>VLOOKUP(B4,courses_program1!A:C,3,0)</f>
        <v>6</v>
      </c>
      <c r="F4" s="10">
        <f>VLOOKUP(C4,courses_program1!A:C,2,0)</f>
        <v>4</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4</v>
      </c>
      <c r="E5" s="10">
        <f>VLOOKUP(B5,courses_program1!A:C,3,0)</f>
        <v>9</v>
      </c>
      <c r="F5" s="10">
        <f>VLOOKUP(C5,courses_program1!A:C,2,0)</f>
        <v>6</v>
      </c>
      <c r="G5" s="10">
        <f>VLOOKUP(C5,courses_program1!A:C,3,0)</f>
        <v>3</v>
      </c>
      <c r="H5" s="2">
        <f>course_requisites!D:D</f>
        <v>1</v>
      </c>
      <c r="I5" s="2" t="str">
        <f t="shared" si="1"/>
        <v>S300S200</v>
      </c>
    </row>
    <row r="6">
      <c r="A6" s="2">
        <f>course_requisites!A:A</f>
        <v>4</v>
      </c>
      <c r="B6" s="2" t="str">
        <f>course_requisites!B:B</f>
        <v>S300</v>
      </c>
      <c r="C6" s="11" t="str">
        <f>course_requisites!C:C</f>
        <v>S203</v>
      </c>
      <c r="D6" s="10">
        <f>VLOOKUP(B6,courses_program1!A:C,2,0)</f>
        <v>4</v>
      </c>
      <c r="E6" s="10">
        <f>VLOOKUP(B6,courses_program1!A:C,3,0)</f>
        <v>9</v>
      </c>
      <c r="F6" s="10">
        <f>VLOOKUP(C6,courses_program1!A:C,2,0)</f>
        <v>2</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4</v>
      </c>
      <c r="E7" s="10">
        <f>VLOOKUP(B7,courses_program1!A:C,3,0)</f>
        <v>9</v>
      </c>
      <c r="F7" s="10">
        <f>VLOOKUP(C7,courses_program1!A:C,2,0)</f>
        <v>5</v>
      </c>
      <c r="G7" s="10">
        <f>VLOOKUP(C7,courses_program1!A:C,3,0)</f>
        <v>6</v>
      </c>
      <c r="H7" s="2">
        <f>course_requisites!D:D</f>
        <v>0</v>
      </c>
      <c r="I7" s="2" t="str">
        <f t="shared" si="1"/>
        <v>S300S251</v>
      </c>
    </row>
    <row r="8">
      <c r="A8" s="2">
        <f>course_requisites!A:A</f>
        <v>5</v>
      </c>
      <c r="B8" s="2" t="str">
        <f>course_requisites!B:B</f>
        <v>S301</v>
      </c>
      <c r="C8" s="11" t="str">
        <f>course_requisites!C:C</f>
        <v>S201</v>
      </c>
      <c r="D8" s="10">
        <f>VLOOKUP(B8,courses_program1!A:C,2,0)</f>
        <v>1</v>
      </c>
      <c r="E8" s="10">
        <f>VLOOKUP(B8,courses_program1!A:C,3,0)</f>
        <v>6</v>
      </c>
      <c r="F8" s="10">
        <f>VLOOKUP(C8,courses_program1!A:C,2,0)</f>
        <v>-2</v>
      </c>
      <c r="G8" s="10">
        <f>VLOOKUP(C8,courses_program1!A:C,3,0)</f>
        <v>3</v>
      </c>
      <c r="H8" s="2">
        <f>course_requisites!D:D</f>
        <v>1</v>
      </c>
      <c r="I8" s="2" t="str">
        <f t="shared" si="1"/>
        <v>S301S201</v>
      </c>
    </row>
    <row r="9">
      <c r="A9" s="2">
        <f>course_requisites!A:A</f>
        <v>6</v>
      </c>
      <c r="B9" s="2" t="str">
        <f>course_requisites!B:B</f>
        <v>S301</v>
      </c>
      <c r="C9" s="11" t="str">
        <f>course_requisites!C:C</f>
        <v>M100</v>
      </c>
      <c r="D9" s="10">
        <f>VLOOKUP(B9,courses_program1!A:C,2,0)</f>
        <v>1</v>
      </c>
      <c r="E9" s="10">
        <f>VLOOKUP(B9,courses_program1!A:C,3,0)</f>
        <v>6</v>
      </c>
      <c r="F9" s="10">
        <f>VLOOKUP(C9,courses_program1!A:C,2,0)</f>
        <v>4</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-2</v>
      </c>
      <c r="E10" s="10">
        <f>VLOOKUP(B10,courses_program1!A:C,3,0)</f>
        <v>9</v>
      </c>
      <c r="F10" s="10">
        <f>VLOOKUP(C10,courses_program1!A:C,2,0)</f>
        <v>3</v>
      </c>
      <c r="G10" s="10">
        <f>VLOOKUP(C10,courses_program1!A:C,3,0)</f>
        <v>6</v>
      </c>
      <c r="H10" s="2">
        <f>course_requisites!D:D</f>
        <v>1</v>
      </c>
      <c r="I10" s="2" t="str">
        <f t="shared" si="1"/>
        <v>S302M200</v>
      </c>
    </row>
    <row r="11">
      <c r="A11" s="2">
        <f>course_requisites!A:A</f>
        <v>8</v>
      </c>
      <c r="B11" s="2" t="str">
        <f>course_requisites!B:B</f>
        <v>S306</v>
      </c>
      <c r="C11" s="11" t="str">
        <f>course_requisites!C:C</f>
        <v>M221</v>
      </c>
      <c r="D11" s="10">
        <f>VLOOKUP(B11,courses_program1!A:C,2,0)</f>
        <v>3</v>
      </c>
      <c r="E11" s="10">
        <f>VLOOKUP(B11,courses_program1!A:C,3,0)</f>
        <v>12</v>
      </c>
      <c r="F11" s="10">
        <f>VLOOKUP(C11,courses_program1!A:C,2,0)</f>
        <v>2</v>
      </c>
      <c r="G11" s="10">
        <f>VLOOKUP(C11,courses_program1!A:C,3,0)</f>
        <v>3</v>
      </c>
      <c r="H11" s="2">
        <f>course_requisites!D:D</f>
        <v>1</v>
      </c>
      <c r="I11" s="2" t="str">
        <f t="shared" si="1"/>
        <v>S306M221</v>
      </c>
    </row>
    <row r="12">
      <c r="A12" s="2">
        <f>course_requisites!A:A</f>
        <v>9</v>
      </c>
      <c r="B12" s="2" t="str">
        <f>course_requisites!B:B</f>
        <v>S306</v>
      </c>
      <c r="C12" s="11" t="str">
        <f>course_requisites!C:C</f>
        <v>S200</v>
      </c>
      <c r="D12" s="10">
        <f>VLOOKUP(B12,courses_program1!A:C,2,0)</f>
        <v>3</v>
      </c>
      <c r="E12" s="10">
        <f>VLOOKUP(B12,courses_program1!A:C,3,0)</f>
        <v>12</v>
      </c>
      <c r="F12" s="10">
        <f>VLOOKUP(C12,courses_program1!A:C,2,0)</f>
        <v>6</v>
      </c>
      <c r="G12" s="10">
        <f>VLOOKUP(C12,courses_program1!A:C,3,0)</f>
        <v>3</v>
      </c>
      <c r="H12" s="2">
        <f>course_requisites!D:D</f>
        <v>1</v>
      </c>
      <c r="I12" s="2" t="str">
        <f t="shared" si="1"/>
        <v>S306S200</v>
      </c>
    </row>
    <row r="13">
      <c r="A13" s="2">
        <f>course_requisites!A:A</f>
        <v>9</v>
      </c>
      <c r="B13" s="2" t="str">
        <f>course_requisites!B:B</f>
        <v>S306</v>
      </c>
      <c r="C13" s="11" t="str">
        <f>course_requisites!C:C</f>
        <v>S251</v>
      </c>
      <c r="D13" s="10">
        <f>VLOOKUP(B13,courses_program1!A:C,2,0)</f>
        <v>3</v>
      </c>
      <c r="E13" s="10">
        <f>VLOOKUP(B13,courses_program1!A:C,3,0)</f>
        <v>12</v>
      </c>
      <c r="F13" s="10">
        <f>VLOOKUP(C13,courses_program1!A:C,2,0)</f>
        <v>5</v>
      </c>
      <c r="G13" s="10">
        <f>VLOOKUP(C13,courses_program1!A:C,3,0)</f>
        <v>6</v>
      </c>
      <c r="H13" s="2">
        <f>course_requisites!D:D</f>
        <v>0</v>
      </c>
      <c r="I13" s="2" t="str">
        <f t="shared" si="1"/>
        <v>S306S251</v>
      </c>
    </row>
    <row r="14">
      <c r="A14" s="2">
        <f>course_requisites!A:A</f>
        <v>9</v>
      </c>
      <c r="B14" s="2" t="str">
        <f>course_requisites!B:B</f>
        <v>S306</v>
      </c>
      <c r="C14" s="11" t="str">
        <f>course_requisites!C:C</f>
        <v>S300</v>
      </c>
      <c r="D14" s="10">
        <f>VLOOKUP(B14,courses_program1!A:C,2,0)</f>
        <v>3</v>
      </c>
      <c r="E14" s="10">
        <f>VLOOKUP(B14,courses_program1!A:C,3,0)</f>
        <v>12</v>
      </c>
      <c r="F14" s="10">
        <f>VLOOKUP(C14,courses_program1!A:C,2,0)</f>
        <v>4</v>
      </c>
      <c r="G14" s="10">
        <f>VLOOKUP(C14,courses_program1!A:C,3,0)</f>
        <v>9</v>
      </c>
      <c r="H14" s="2">
        <f>course_requisites!D:D</f>
        <v>0</v>
      </c>
      <c r="I14" s="2" t="str">
        <f t="shared" si="1"/>
        <v>S306S300</v>
      </c>
    </row>
    <row r="15">
      <c r="A15" s="2">
        <f>course_requisites!A:A</f>
        <v>10</v>
      </c>
      <c r="B15" s="2" t="str">
        <f>course_requisites!B:B</f>
        <v>S306</v>
      </c>
      <c r="C15" s="11" t="str">
        <f>course_requisites!C:C</f>
        <v>S302</v>
      </c>
      <c r="D15" s="10">
        <f>VLOOKUP(B15,courses_program1!A:C,2,0)</f>
        <v>3</v>
      </c>
      <c r="E15" s="10">
        <f>VLOOKUP(B15,courses_program1!A:C,3,0)</f>
        <v>12</v>
      </c>
      <c r="F15" s="10">
        <f>VLOOKUP(C15,courses_program1!A:C,2,0)</f>
        <v>-2</v>
      </c>
      <c r="G15" s="10">
        <f>VLOOKUP(C15,courses_program1!A:C,3,0)</f>
        <v>9</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18</v>
      </c>
      <c r="F16" s="10">
        <f>VLOOKUP(C16,courses_program1!A:C,2,0)</f>
        <v>3</v>
      </c>
      <c r="G16" s="10">
        <f>VLOOKUP(C16,courses_program1!A:C,3,0)</f>
        <v>12</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18</v>
      </c>
      <c r="F17" s="10">
        <f>VLOOKUP(C17,courses_program1!A:C,2,0)</f>
        <v>2</v>
      </c>
      <c r="G17" s="10">
        <f>VLOOKUP(C17,courses_program1!A:C,3,0)</f>
        <v>15</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18</v>
      </c>
      <c r="F18" s="10">
        <f>VLOOKUP(C18,courses_program1!A:C,2,0)</f>
        <v>1</v>
      </c>
      <c r="G18" s="10">
        <f>VLOOKUP(C18,courses_program1!A:C,3,0)</f>
        <v>6</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18</v>
      </c>
      <c r="F19" s="10">
        <f>VLOOKUP(C19,courses_program1!A:C,2,0)</f>
        <v>2</v>
      </c>
      <c r="G19" s="10">
        <f>VLOOKUP(C19,courses_program1!A:C,3,0)</f>
        <v>3</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18</v>
      </c>
      <c r="F20" s="10">
        <f>VLOOKUP(C20,courses_program1!A:C,2,0)</f>
        <v>-2</v>
      </c>
      <c r="G20" s="10">
        <f>VLOOKUP(C20,courses_program1!A:C,3,0)</f>
        <v>9</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4</v>
      </c>
      <c r="E21" s="10">
        <f>VLOOKUP(B21,courses_program1!A:C,3,0)</f>
        <v>3</v>
      </c>
      <c r="F21" s="10">
        <f>VLOOKUP(C21,courses_program1!A:C,2,0)</f>
        <v>4</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3</v>
      </c>
      <c r="E22" s="10">
        <f>VLOOKUP(B22,courses_program1!A:C,3,0)</f>
        <v>6</v>
      </c>
      <c r="F22" s="10">
        <f>VLOOKUP(C22,courses_program1!A:C,2,0)</f>
        <v>4</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v>
      </c>
      <c r="E23" s="10">
        <f>VLOOKUP(B23,courses_program1!A:C,3,0)</f>
        <v>12</v>
      </c>
      <c r="F23" s="10">
        <f>VLOOKUP(C23,courses_program1!A:C,2,0)</f>
        <v>4</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v>
      </c>
      <c r="E24" s="10">
        <f>VLOOKUP(B24,courses_program1!A:C,3,0)</f>
        <v>12</v>
      </c>
      <c r="F24" s="10">
        <f>VLOOKUP(C24,courses_program1!A:C,2,0)</f>
        <v>2</v>
      </c>
      <c r="G24" s="10">
        <f>VLOOKUP(C24,courses_program1!A:C,3,0)</f>
        <v>9</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v>
      </c>
      <c r="E25" s="10">
        <f>VLOOKUP(B25,courses_program1!A:C,3,0)</f>
        <v>12</v>
      </c>
      <c r="F25" s="10">
        <f>VLOOKUP(C25,courses_program1!A:C,2,0)</f>
        <v>2</v>
      </c>
      <c r="G25" s="10">
        <f>VLOOKUP(C25,courses_program1!A:C,3,0)</f>
        <v>3</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2</v>
      </c>
      <c r="E26" s="10">
        <f>VLOOKUP(B26,courses_program1!A:C,3,0)</f>
        <v>9</v>
      </c>
      <c r="F26" s="10">
        <f>VLOOKUP(C26,courses_program1!A:C,2,0)</f>
        <v>4</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2</v>
      </c>
      <c r="E27" s="10">
        <f>VLOOKUP(B27,courses_program1!A:C,3,0)</f>
        <v>9</v>
      </c>
      <c r="F27" s="10">
        <f>VLOOKUP(C27,courses_program1!A:C,2,0)</f>
        <v>2</v>
      </c>
      <c r="G27" s="10">
        <f>VLOOKUP(C27,courses_program1!A:C,3,0)</f>
        <v>3</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2</v>
      </c>
      <c r="E28" s="10">
        <f>VLOOKUP(B28,courses_program1!A:C,3,0)</f>
        <v>9</v>
      </c>
      <c r="F28" s="10">
        <f>VLOOKUP(C28,courses_program1!A:C,2,0)</f>
        <v>3</v>
      </c>
      <c r="G28" s="10">
        <f>VLOOKUP(C28,courses_program1!A:C,3,0)</f>
        <v>6</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v>
      </c>
      <c r="E29" s="10">
        <f>VLOOKUP(B29,courses_program1!A:C,3,0)</f>
        <v>3</v>
      </c>
      <c r="F29" s="10">
        <f>VLOOKUP(C29,courses_program1!A:C,2,0)</f>
        <v>4</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0</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v>
      </c>
      <c r="E31" s="10">
        <f>VLOOKUP(B31,courses_program1!A:C,3,0)</f>
        <v>6</v>
      </c>
      <c r="F31" s="10">
        <f>VLOOKUP(C31,courses_program1!A:C,2,0)</f>
        <v>4</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v>
      </c>
      <c r="E32" s="10">
        <f>VLOOKUP(B32,courses_program1!A:C,3,0)</f>
        <v>6</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v>
      </c>
      <c r="E33" s="10">
        <f>VLOOKUP(B33,courses_program1!A:C,3,0)</f>
        <v>6</v>
      </c>
      <c r="F33" s="10">
        <f>VLOOKUP(C33,courses_program1!A:C,2,0)</f>
        <v>-2</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v>
      </c>
      <c r="E34" s="10">
        <f>VLOOKUP(B34,courses_program1!A:C,3,0)</f>
        <v>6</v>
      </c>
      <c r="F34" s="10">
        <f>VLOOKUP(C34,courses_program1!A:C,2,0)</f>
        <v>-6</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-4</v>
      </c>
      <c r="E35" s="10">
        <f>VLOOKUP(B35,courses_program1!A:C,3,0)</f>
        <v>9</v>
      </c>
      <c r="F35" s="10">
        <f>VLOOKUP(C35,courses_program1!A:C,2,0)</f>
        <v>-1</v>
      </c>
      <c r="G35" s="10">
        <f>VLOOKUP(C35,courses_program1!A:C,3,0)</f>
        <v>6</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-4</v>
      </c>
      <c r="E36" s="10">
        <f>VLOOKUP(B36,courses_program1!A:C,3,0)</f>
        <v>9</v>
      </c>
      <c r="F36" s="10">
        <f>VLOOKUP(C36,courses_program1!A:C,2,0)</f>
        <v>-5</v>
      </c>
      <c r="G36" s="10">
        <f>VLOOKUP(C36,courses_program1!A:C,3,0)</f>
        <v>6</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-4</v>
      </c>
      <c r="E37" s="10">
        <f>VLOOKUP(B37,courses_program1!A:C,3,0)</f>
        <v>9</v>
      </c>
      <c r="F37" s="10">
        <f>VLOOKUP(C37,courses_program1!A:C,2,0)</f>
        <v>-6</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0</v>
      </c>
      <c r="E38" s="10">
        <f>VLOOKUP(B38,courses_program1!A:C,3,0)</f>
        <v>15</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0</v>
      </c>
      <c r="E39" s="10">
        <f>VLOOKUP(B39,courses_program1!A:C,3,0)</f>
        <v>15</v>
      </c>
      <c r="F39" s="10">
        <f>VLOOKUP(C39,courses_program1!A:C,2,0)</f>
        <v>-6</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0</v>
      </c>
      <c r="E40" s="10">
        <f>VLOOKUP(B40,courses_program1!A:C,3,0)</f>
        <v>15</v>
      </c>
      <c r="F40" s="10">
        <f>VLOOKUP(C40,courses_program1!A:C,2,0)</f>
        <v>-3</v>
      </c>
      <c r="G40" s="10">
        <f>VLOOKUP(C40,courses_program1!A:C,3,0)</f>
        <v>6</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0</v>
      </c>
      <c r="E41" s="10">
        <f>VLOOKUP(B41,courses_program1!A:C,3,0)</f>
        <v>15</v>
      </c>
      <c r="F41" s="10">
        <f>VLOOKUP(C41,courses_program1!A:C,2,0)</f>
        <v>1</v>
      </c>
      <c r="G41" s="10">
        <f>VLOOKUP(C41,courses_program1!A:C,3,0)</f>
        <v>12</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0</v>
      </c>
      <c r="E42" s="10">
        <f>VLOOKUP(B42,courses_program1!A:C,3,0)</f>
        <v>15</v>
      </c>
      <c r="F42" s="10">
        <f>VLOOKUP(C42,courses_program1!A:C,2,0)</f>
        <v>-4</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0</v>
      </c>
      <c r="E43" s="10">
        <f>VLOOKUP(B43,courses_program1!A:C,3,0)</f>
        <v>15</v>
      </c>
      <c r="F43" s="10">
        <f>VLOOKUP(C43,courses_program1!A:C,2,0)</f>
        <v>-4</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-3</v>
      </c>
      <c r="E44" s="10">
        <f>VLOOKUP(B44,courses_program1!A:C,3,0)</f>
        <v>12</v>
      </c>
      <c r="F44" s="10">
        <f>VLOOKUP(C44,courses_program1!A:C,2,0)</f>
        <v>-2</v>
      </c>
      <c r="G44" s="10">
        <f>VLOOKUP(C44,courses_program1!A:C,3,0)</f>
        <v>3</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-3</v>
      </c>
      <c r="E45" s="10">
        <f>VLOOKUP(B45,courses_program1!A:C,3,0)</f>
        <v>12</v>
      </c>
      <c r="F45" s="10">
        <f>VLOOKUP(C45,courses_program1!A:C,2,0)</f>
        <v>-6</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-3</v>
      </c>
      <c r="E46" s="10">
        <f>VLOOKUP(B46,courses_program1!A:C,3,0)</f>
        <v>12</v>
      </c>
      <c r="F46" s="10">
        <f>VLOOKUP(C46,courses_program1!A:C,2,0)</f>
        <v>-3</v>
      </c>
      <c r="G46" s="10">
        <f>VLOOKUP(C46,courses_program1!A:C,3,0)</f>
        <v>6</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-3</v>
      </c>
      <c r="E47" s="10">
        <f>VLOOKUP(B47,courses_program1!A:C,3,0)</f>
        <v>12</v>
      </c>
      <c r="F47" s="10">
        <f>VLOOKUP(C47,courses_program1!A:C,2,0)</f>
        <v>-4</v>
      </c>
      <c r="G47" s="10">
        <f>VLOOKUP(C47,courses_program1!A:C,3,0)</f>
        <v>9</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21</v>
      </c>
      <c r="F48" s="10">
        <f>VLOOKUP(C48,courses_program1!A:C,2,0)</f>
        <v>-2</v>
      </c>
      <c r="G48" s="10">
        <f>VLOOKUP(C48,courses_program1!A:C,3,0)</f>
        <v>15</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21</v>
      </c>
      <c r="F49" s="10">
        <f>VLOOKUP(C49,courses_program1!A:C,2,0)</f>
        <v>2</v>
      </c>
      <c r="G49" s="10">
        <f>VLOOKUP(C49,courses_program1!A:C,3,0)</f>
        <v>15</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21</v>
      </c>
      <c r="F50" s="10">
        <f>VLOOKUP(C50,courses_program1!A:C,2,0)</f>
        <v>1</v>
      </c>
      <c r="G50" s="10">
        <f>VLOOKUP(C50,courses_program1!A:C,3,0)</f>
        <v>6</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21</v>
      </c>
      <c r="F51" s="10">
        <f>VLOOKUP(C51,courses_program1!A:C,2,0)</f>
        <v>0</v>
      </c>
      <c r="G51" s="10">
        <f>VLOOKUP(C51,courses_program1!A:C,3,0)</f>
        <v>18</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-4</v>
      </c>
      <c r="E52" s="10">
        <f>VLOOKUP(B52,courses_program1!A:C,3,0)</f>
        <v>3</v>
      </c>
      <c r="F52" s="10">
        <f>VLOOKUP(C52,courses_program1!A:C,2,0)</f>
        <v>-2</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-5</v>
      </c>
      <c r="E53" s="10">
        <f>VLOOKUP(B53,courses_program1!A:C,3,0)</f>
        <v>6</v>
      </c>
      <c r="F53" s="10">
        <f>VLOOKUP(C53,courses_program1!A:C,2,0)</f>
        <v>-4</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-5</v>
      </c>
      <c r="E54" s="10">
        <f>VLOOKUP(B54,courses_program1!A:C,3,0)</f>
        <v>6</v>
      </c>
      <c r="F54" s="10">
        <f>VLOOKUP(C54,courses_program1!A:C,2,0)</f>
        <v>-4</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-6</v>
      </c>
      <c r="E55" s="10">
        <f>VLOOKUP(B55,courses_program1!A:C,3,0)</f>
        <v>3</v>
      </c>
      <c r="F55" s="10">
        <f>VLOOKUP(C55,courses_program1!A:C,2,0)</f>
        <v>-2</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-6</v>
      </c>
      <c r="E56" s="10">
        <f>VLOOKUP(B56,courses_program1!A:C,3,0)</f>
        <v>3</v>
      </c>
      <c r="F56" s="10">
        <f>VLOOKUP(C56,courses_program1!A:C,2,0)</f>
        <v>-4</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-3</v>
      </c>
      <c r="E57" s="10">
        <f>VLOOKUP(B57,courses_program1!A:C,3,0)</f>
        <v>6</v>
      </c>
      <c r="F57" s="10">
        <f>VLOOKUP(C57,courses_program1!A:C,2,0)</f>
        <v>-4</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-3</v>
      </c>
      <c r="E58" s="10">
        <f>VLOOKUP(B58,courses_program1!A:C,3,0)</f>
        <v>6</v>
      </c>
      <c r="F58" s="10">
        <f>VLOOKUP(C58,courses_program1!A:C,2,0)</f>
        <v>-4</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-2</v>
      </c>
      <c r="E59" s="10">
        <f>VLOOKUP(B59,courses_program1!A:C,3,0)</f>
        <v>15</v>
      </c>
      <c r="F59" s="10">
        <f>VLOOKUP(C59,courses_program1!A:C,2,0)</f>
        <v>-6</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-2</v>
      </c>
      <c r="E60" s="10">
        <f>VLOOKUP(B60,courses_program1!A:C,3,0)</f>
        <v>15</v>
      </c>
      <c r="F60" s="10">
        <f>VLOOKUP(C60,courses_program1!A:C,2,0)</f>
        <v>-3</v>
      </c>
      <c r="G60" s="10">
        <f>VLOOKUP(C60,courses_program1!A:C,3,0)</f>
        <v>6</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-2</v>
      </c>
      <c r="E61" s="10">
        <f>VLOOKUP(B61,courses_program1!A:C,3,0)</f>
        <v>15</v>
      </c>
      <c r="F61" s="10">
        <f>VLOOKUP(C61,courses_program1!A:C,2,0)</f>
        <v>-4</v>
      </c>
      <c r="G61" s="10">
        <f>VLOOKUP(C61,courses_program1!A:C,3,0)</f>
        <v>9</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-2</v>
      </c>
      <c r="E62" s="10">
        <f>VLOOKUP(B62,courses_program1!A:C,3,0)</f>
        <v>15</v>
      </c>
      <c r="F62" s="10">
        <f>VLOOKUP(C62,courses_program1!A:C,2,0)</f>
        <v>1</v>
      </c>
      <c r="G62" s="10">
        <f>VLOOKUP(C62,courses_program1!A:C,3,0)</f>
        <v>12</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-2</v>
      </c>
      <c r="E63" s="10">
        <f>VLOOKUP(B63,courses_program1!A:C,3,0)</f>
        <v>15</v>
      </c>
      <c r="F63" s="10">
        <f>VLOOKUP(C63,courses_program1!A:C,2,0)</f>
        <v>-4</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-2</v>
      </c>
      <c r="E64" s="10">
        <f>VLOOKUP(B64,courses_program1!A:C,3,0)</f>
        <v>15</v>
      </c>
      <c r="F64" s="10">
        <f>VLOOKUP(C64,courses_program1!A:C,2,0)</f>
        <v>-4</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2</v>
      </c>
      <c r="E65" s="10">
        <f>VLOOKUP(B65,courses_program1!A:C,3,0)</f>
        <v>15</v>
      </c>
      <c r="F65" s="10">
        <f>VLOOKUP(C65,courses_program1!A:C,2,0)</f>
        <v>-1</v>
      </c>
      <c r="G65" s="10">
        <f>VLOOKUP(C65,courses_program1!A:C,3,0)</f>
        <v>12</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2</v>
      </c>
      <c r="E66" s="10">
        <f>VLOOKUP(B66,courses_program1!A:C,3,0)</f>
        <v>15</v>
      </c>
      <c r="F66" s="10">
        <f>VLOOKUP(C66,courses_program1!A:C,2,0)</f>
        <v>-4</v>
      </c>
      <c r="G66" s="10">
        <f>VLOOKUP(C66,courses_program1!A:C,3,0)</f>
        <v>9</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2</v>
      </c>
      <c r="E67" s="10">
        <f>VLOOKUP(B67,courses_program1!A:C,3,0)</f>
        <v>15</v>
      </c>
      <c r="F67" s="10">
        <f>VLOOKUP(C67,courses_program1!A:C,2,0)</f>
        <v>2</v>
      </c>
      <c r="G67" s="10">
        <f>VLOOKUP(C67,courses_program1!A:C,3,0)</f>
        <v>3</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2</v>
      </c>
      <c r="E68" s="10">
        <f>VLOOKUP(B68,courses_program1!A:C,3,0)</f>
        <v>15</v>
      </c>
      <c r="F68" s="10">
        <f>VLOOKUP(C68,courses_program1!A:C,2,0)</f>
        <v>3</v>
      </c>
      <c r="G68" s="10">
        <f>VLOOKUP(C68,courses_program1!A:C,3,0)</f>
        <v>6</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2</v>
      </c>
      <c r="E69" s="10">
        <f>VLOOKUP(B69,courses_program1!A:C,3,0)</f>
        <v>15</v>
      </c>
      <c r="F69" s="10">
        <f>VLOOKUP(C69,courses_program1!A:C,2,0)</f>
        <v>5</v>
      </c>
      <c r="G69" s="10">
        <f>VLOOKUP(C69,courses_program1!A:C,3,0)</f>
        <v>6</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2</v>
      </c>
      <c r="E70" s="10">
        <f>VLOOKUP(B70,courses_program1!A:C,3,0)</f>
        <v>15</v>
      </c>
      <c r="F70" s="10">
        <f>VLOOKUP(C70,courses_program1!A:C,2,0)</f>
        <v>-2</v>
      </c>
      <c r="G70" s="10">
        <f>VLOOKUP(C70,courses_program1!A:C,3,0)</f>
        <v>9</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-1</v>
      </c>
      <c r="E71" s="10">
        <f>VLOOKUP(B71,courses_program1!A:C,3,0)</f>
        <v>12</v>
      </c>
      <c r="F71" s="10">
        <f>VLOOKUP(C71,courses_program1!A:C,2,0)</f>
        <v>-3</v>
      </c>
      <c r="G71" s="10">
        <f>VLOOKUP(C71,courses_program1!A:C,3,0)</f>
        <v>6</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-1</v>
      </c>
      <c r="E72" s="10">
        <f>VLOOKUP(B72,courses_program1!A:C,3,0)</f>
        <v>12</v>
      </c>
      <c r="F72" s="10">
        <f>VLOOKUP(C72,courses_program1!A:C,2,0)</f>
        <v>-5</v>
      </c>
      <c r="G72" s="10">
        <f>VLOOKUP(C72,courses_program1!A:C,3,0)</f>
        <v>6</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-1</v>
      </c>
      <c r="E73" s="10">
        <f>VLOOKUP(B73,courses_program1!A:C,3,0)</f>
        <v>12</v>
      </c>
      <c r="F73" s="10">
        <f>VLOOKUP(C73,courses_program1!A:C,2,0)</f>
        <v>0</v>
      </c>
      <c r="G73" s="10">
        <f>VLOOKUP(C73,courses_program1!A:C,3,0)</f>
        <v>9</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-1</v>
      </c>
      <c r="E74" s="10">
        <f>VLOOKUP(B74,courses_program1!A:C,3,0)</f>
        <v>12</v>
      </c>
      <c r="F74" s="10">
        <f>VLOOKUP(C74,courses_program1!A:C,2,0)</f>
        <v>3</v>
      </c>
      <c r="G74" s="10">
        <f>VLOOKUP(C74,courses_program1!A:C,3,0)</f>
        <v>6</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9</v>
      </c>
      <c r="F75" s="10">
        <f>VLOOKUP(C75,courses_program1!A:C,2,0)</f>
        <v>4</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9</v>
      </c>
      <c r="F76" s="10">
        <f>VLOOKUP(C76,courses_program1!A:C,2,0)</f>
        <v>3</v>
      </c>
      <c r="G76" s="10">
        <f>VLOOKUP(C76,courses_program1!A:C,3,0)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s>
  <sheetData>
    <row r="1">
      <c r="A1" s="1" t="s">
        <v>0</v>
      </c>
      <c r="B1" s="2" t="s">
        <v>205</v>
      </c>
      <c r="C1" s="2" t="s">
        <v>206</v>
      </c>
      <c r="D1" s="2" t="s">
        <v>207</v>
      </c>
    </row>
    <row r="2">
      <c r="A2" s="2" t="s">
        <v>6</v>
      </c>
      <c r="B2" s="3">
        <v>6.0</v>
      </c>
      <c r="C2" s="3">
        <v>3.0</v>
      </c>
      <c r="D2" s="2">
        <v>0.0</v>
      </c>
    </row>
    <row r="3">
      <c r="A3" s="2" t="s">
        <v>12</v>
      </c>
      <c r="B3" s="3">
        <v>-2.0</v>
      </c>
      <c r="C3" s="3">
        <v>3.0</v>
      </c>
      <c r="D3" s="2">
        <v>1.0</v>
      </c>
    </row>
    <row r="4">
      <c r="A4" s="2" t="s">
        <v>115</v>
      </c>
      <c r="B4" s="3">
        <v>2.0</v>
      </c>
      <c r="C4" s="3">
        <v>0.0</v>
      </c>
      <c r="D4" s="2">
        <v>0.0</v>
      </c>
    </row>
    <row r="5">
      <c r="A5" s="2" t="s">
        <v>16</v>
      </c>
      <c r="B5" s="3">
        <v>5.0</v>
      </c>
      <c r="C5" s="3">
        <v>6.0</v>
      </c>
      <c r="D5" s="2">
        <v>0.0</v>
      </c>
    </row>
    <row r="6">
      <c r="A6" s="2" t="s">
        <v>20</v>
      </c>
      <c r="B6" s="3">
        <v>4.0</v>
      </c>
      <c r="C6" s="3">
        <v>9.0</v>
      </c>
      <c r="D6" s="2">
        <v>0.0</v>
      </c>
    </row>
    <row r="7">
      <c r="A7" s="2" t="s">
        <v>24</v>
      </c>
      <c r="B7" s="3">
        <v>1.0</v>
      </c>
      <c r="C7" s="3">
        <v>6.0</v>
      </c>
      <c r="D7" s="2">
        <v>1.0</v>
      </c>
    </row>
    <row r="8">
      <c r="A8" s="2" t="s">
        <v>27</v>
      </c>
      <c r="B8" s="3">
        <v>-2.0</v>
      </c>
      <c r="C8" s="3">
        <v>9.0</v>
      </c>
      <c r="D8" s="2">
        <v>0.0</v>
      </c>
    </row>
    <row r="9">
      <c r="A9" s="2" t="s">
        <v>32</v>
      </c>
      <c r="B9" s="3">
        <v>3.0</v>
      </c>
      <c r="C9" s="3">
        <v>12.0</v>
      </c>
      <c r="D9" s="2">
        <v>0.0</v>
      </c>
    </row>
    <row r="10">
      <c r="A10" s="2" t="s">
        <v>36</v>
      </c>
      <c r="B10" s="3">
        <v>0.0</v>
      </c>
      <c r="C10" s="3">
        <v>18.0</v>
      </c>
      <c r="D10" s="2">
        <v>0.0</v>
      </c>
    </row>
    <row r="11">
      <c r="A11" s="2" t="s">
        <v>39</v>
      </c>
      <c r="B11" s="3">
        <v>4.0</v>
      </c>
      <c r="C11" s="3">
        <v>0.0</v>
      </c>
      <c r="D11" s="2">
        <v>0.0</v>
      </c>
    </row>
    <row r="12">
      <c r="A12" s="2" t="s">
        <v>43</v>
      </c>
      <c r="B12" s="3">
        <v>4.0</v>
      </c>
      <c r="C12" s="3">
        <v>3.0</v>
      </c>
      <c r="D12" s="2">
        <v>0.0</v>
      </c>
    </row>
    <row r="13">
      <c r="A13" s="2" t="s">
        <v>47</v>
      </c>
      <c r="B13" s="3">
        <v>3.0</v>
      </c>
      <c r="C13" s="3">
        <v>6.0</v>
      </c>
      <c r="D13" s="2">
        <v>0.0</v>
      </c>
    </row>
    <row r="14">
      <c r="A14" s="2" t="s">
        <v>51</v>
      </c>
      <c r="B14" s="3">
        <v>1.0</v>
      </c>
      <c r="C14" s="3">
        <v>12.0</v>
      </c>
      <c r="D14" s="2">
        <v>0.0</v>
      </c>
    </row>
    <row r="15">
      <c r="A15" s="2" t="s">
        <v>54</v>
      </c>
      <c r="B15" s="3">
        <v>2.0</v>
      </c>
      <c r="C15" s="3">
        <v>9.0</v>
      </c>
      <c r="D15" s="2">
        <v>0.0</v>
      </c>
    </row>
    <row r="16">
      <c r="A16" s="2" t="s">
        <v>122</v>
      </c>
      <c r="B16" s="3">
        <v>0.0</v>
      </c>
      <c r="C16" s="3">
        <v>9.0</v>
      </c>
      <c r="D16" s="2">
        <v>0.0</v>
      </c>
    </row>
    <row r="17">
      <c r="A17" s="2" t="s">
        <v>57</v>
      </c>
      <c r="B17" s="3">
        <v>2.0</v>
      </c>
      <c r="C17" s="3">
        <v>3.0</v>
      </c>
      <c r="D17" s="2">
        <v>0.0</v>
      </c>
    </row>
    <row r="18">
      <c r="A18" s="2" t="s">
        <v>61</v>
      </c>
      <c r="B18" s="3">
        <v>0.0</v>
      </c>
      <c r="C18" s="3">
        <v>0.0</v>
      </c>
      <c r="D18" s="2">
        <v>1.0</v>
      </c>
    </row>
    <row r="19">
      <c r="A19" s="2" t="s">
        <v>64</v>
      </c>
      <c r="B19" s="3">
        <v>0.0</v>
      </c>
      <c r="C19" s="3">
        <v>3.0</v>
      </c>
      <c r="D19" s="2">
        <v>0.0</v>
      </c>
    </row>
    <row r="20">
      <c r="A20" s="2" t="s">
        <v>67</v>
      </c>
      <c r="B20" s="3">
        <v>-1.0</v>
      </c>
      <c r="C20" s="3">
        <v>6.0</v>
      </c>
      <c r="D20" s="2">
        <v>0.0</v>
      </c>
    </row>
    <row r="21" ht="15.75" customHeight="1">
      <c r="A21" s="2" t="s">
        <v>71</v>
      </c>
      <c r="B21" s="3">
        <v>-4.0</v>
      </c>
      <c r="C21" s="3">
        <v>9.0</v>
      </c>
      <c r="D21" s="2">
        <v>0.0</v>
      </c>
    </row>
    <row r="22" ht="15.75" customHeight="1">
      <c r="A22" s="2" t="s">
        <v>74</v>
      </c>
      <c r="B22" s="3">
        <v>0.0</v>
      </c>
      <c r="C22" s="3">
        <v>15.0</v>
      </c>
      <c r="D22" s="2">
        <v>1.0</v>
      </c>
    </row>
    <row r="23" ht="15.75" customHeight="1">
      <c r="A23" s="2" t="s">
        <v>78</v>
      </c>
      <c r="B23" s="3">
        <v>-3.0</v>
      </c>
      <c r="C23" s="3">
        <v>12.0</v>
      </c>
      <c r="D23" s="2">
        <v>1.0</v>
      </c>
    </row>
    <row r="24" ht="15.75" customHeight="1">
      <c r="A24" s="2" t="s">
        <v>82</v>
      </c>
      <c r="B24" s="3">
        <v>0.0</v>
      </c>
      <c r="C24" s="3">
        <v>21.0</v>
      </c>
      <c r="D24" s="2">
        <v>1.0</v>
      </c>
    </row>
    <row r="25" ht="15.75" customHeight="1">
      <c r="A25" s="2" t="s">
        <v>86</v>
      </c>
      <c r="B25" s="3">
        <v>-2.0</v>
      </c>
      <c r="C25" s="3">
        <v>0.0</v>
      </c>
      <c r="D25" s="2">
        <v>1.0</v>
      </c>
    </row>
    <row r="26" ht="15.75" customHeight="1">
      <c r="A26" s="2" t="s">
        <v>90</v>
      </c>
      <c r="B26" s="3">
        <v>-4.0</v>
      </c>
      <c r="C26" s="3">
        <v>3.0</v>
      </c>
      <c r="D26" s="2">
        <v>0.0</v>
      </c>
    </row>
    <row r="27" ht="15.75" customHeight="1">
      <c r="A27" s="2" t="s">
        <v>94</v>
      </c>
      <c r="B27" s="3">
        <v>-4.0</v>
      </c>
      <c r="C27" s="3">
        <v>0.0</v>
      </c>
      <c r="D27" s="2">
        <v>0.0</v>
      </c>
    </row>
    <row r="28" ht="15.75" customHeight="1">
      <c r="A28" s="2" t="s">
        <v>98</v>
      </c>
      <c r="B28" s="3">
        <v>-5.0</v>
      </c>
      <c r="C28" s="3">
        <v>6.0</v>
      </c>
      <c r="D28" s="2">
        <v>0.0</v>
      </c>
    </row>
    <row r="29" ht="15.75" customHeight="1">
      <c r="A29" s="2" t="s">
        <v>102</v>
      </c>
      <c r="B29" s="3">
        <v>-6.0</v>
      </c>
      <c r="C29" s="3">
        <v>3.0</v>
      </c>
      <c r="D29" s="2">
        <v>1.0</v>
      </c>
    </row>
    <row r="30" ht="15.75" customHeight="1">
      <c r="A30" s="2" t="s">
        <v>106</v>
      </c>
      <c r="B30" s="3">
        <v>-3.0</v>
      </c>
      <c r="C30" s="3">
        <v>6.0</v>
      </c>
      <c r="D30" s="2">
        <v>0.0</v>
      </c>
    </row>
    <row r="31" ht="15.75" customHeight="1">
      <c r="A31" s="2" t="s">
        <v>119</v>
      </c>
      <c r="B31" s="3">
        <v>-1.0</v>
      </c>
      <c r="C31" s="3">
        <v>12.0</v>
      </c>
      <c r="D31" s="2">
        <v>0.0</v>
      </c>
    </row>
    <row r="32" ht="15.75" customHeight="1">
      <c r="A32" s="2" t="s">
        <v>109</v>
      </c>
      <c r="B32" s="3">
        <v>-2.0</v>
      </c>
      <c r="C32" s="3">
        <v>15.0</v>
      </c>
      <c r="D32" s="2">
        <v>1.0</v>
      </c>
    </row>
    <row r="33" ht="15.75" customHeight="1">
      <c r="A33" s="2" t="s">
        <v>112</v>
      </c>
      <c r="B33" s="3">
        <v>2.0</v>
      </c>
      <c r="C33" s="3">
        <v>15.0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6</v>
      </c>
      <c r="E2" s="10">
        <f>VLOOKUP(B2,courses_program1!A:C,3,0)</f>
        <v>3</v>
      </c>
      <c r="F2" s="10">
        <f>VLOOKUP(C2,courses_program1!A:C,2,0)</f>
        <v>4</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-2</v>
      </c>
      <c r="E3" s="10">
        <f>VLOOKUP(B3,courses_program1!A:C,3,0)</f>
        <v>3</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5</v>
      </c>
      <c r="E4" s="10">
        <f>VLOOKUP(B4,courses_program1!A:C,3,0)</f>
        <v>6</v>
      </c>
      <c r="F4" s="10">
        <f>VLOOKUP(C4,courses_program1!A:C,2,0)</f>
        <v>4</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4</v>
      </c>
      <c r="E5" s="10">
        <f>VLOOKUP(B5,courses_program1!A:C,3,0)</f>
        <v>9</v>
      </c>
      <c r="F5" s="10">
        <f>VLOOKUP(C5,courses_program1!A:C,2,0)</f>
        <v>6</v>
      </c>
      <c r="G5" s="10">
        <f>VLOOKUP(C5,courses_program1!A:C,3,0)</f>
        <v>3</v>
      </c>
      <c r="H5" s="2">
        <f>course_requisites!D:D</f>
        <v>1</v>
      </c>
      <c r="I5" s="2" t="str">
        <f t="shared" si="1"/>
        <v>S300S200</v>
      </c>
    </row>
    <row r="6">
      <c r="A6" s="2">
        <f>course_requisites!A:A</f>
        <v>4</v>
      </c>
      <c r="B6" s="2" t="str">
        <f>course_requisites!B:B</f>
        <v>S300</v>
      </c>
      <c r="C6" s="11" t="str">
        <f>course_requisites!C:C</f>
        <v>S203</v>
      </c>
      <c r="D6" s="10">
        <f>VLOOKUP(B6,courses_program1!A:C,2,0)</f>
        <v>4</v>
      </c>
      <c r="E6" s="10">
        <f>VLOOKUP(B6,courses_program1!A:C,3,0)</f>
        <v>9</v>
      </c>
      <c r="F6" s="10">
        <f>VLOOKUP(C6,courses_program1!A:C,2,0)</f>
        <v>2</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4</v>
      </c>
      <c r="E7" s="10">
        <f>VLOOKUP(B7,courses_program1!A:C,3,0)</f>
        <v>9</v>
      </c>
      <c r="F7" s="10">
        <f>VLOOKUP(C7,courses_program1!A:C,2,0)</f>
        <v>5</v>
      </c>
      <c r="G7" s="10">
        <f>VLOOKUP(C7,courses_program1!A:C,3,0)</f>
        <v>6</v>
      </c>
      <c r="H7" s="2">
        <f>course_requisites!D:D</f>
        <v>0</v>
      </c>
      <c r="I7" s="2" t="str">
        <f t="shared" si="1"/>
        <v>S300S251</v>
      </c>
    </row>
    <row r="8">
      <c r="A8" s="2">
        <f>course_requisites!A:A</f>
        <v>5</v>
      </c>
      <c r="B8" s="2" t="str">
        <f>course_requisites!B:B</f>
        <v>S301</v>
      </c>
      <c r="C8" s="11" t="str">
        <f>course_requisites!C:C</f>
        <v>S201</v>
      </c>
      <c r="D8" s="10">
        <f>VLOOKUP(B8,courses_program1!A:C,2,0)</f>
        <v>1</v>
      </c>
      <c r="E8" s="10">
        <f>VLOOKUP(B8,courses_program1!A:C,3,0)</f>
        <v>6</v>
      </c>
      <c r="F8" s="10">
        <f>VLOOKUP(C8,courses_program1!A:C,2,0)</f>
        <v>-2</v>
      </c>
      <c r="G8" s="10">
        <f>VLOOKUP(C8,courses_program1!A:C,3,0)</f>
        <v>3</v>
      </c>
      <c r="H8" s="2">
        <f>course_requisites!D:D</f>
        <v>1</v>
      </c>
      <c r="I8" s="2" t="str">
        <f t="shared" si="1"/>
        <v>S301S201</v>
      </c>
    </row>
    <row r="9">
      <c r="A9" s="2">
        <f>course_requisites!A:A</f>
        <v>6</v>
      </c>
      <c r="B9" s="2" t="str">
        <f>course_requisites!B:B</f>
        <v>S301</v>
      </c>
      <c r="C9" s="11" t="str">
        <f>course_requisites!C:C</f>
        <v>M100</v>
      </c>
      <c r="D9" s="10">
        <f>VLOOKUP(B9,courses_program1!A:C,2,0)</f>
        <v>1</v>
      </c>
      <c r="E9" s="10">
        <f>VLOOKUP(B9,courses_program1!A:C,3,0)</f>
        <v>6</v>
      </c>
      <c r="F9" s="10">
        <f>VLOOKUP(C9,courses_program1!A:C,2,0)</f>
        <v>4</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-2</v>
      </c>
      <c r="E10" s="10">
        <f>VLOOKUP(B10,courses_program1!A:C,3,0)</f>
        <v>9</v>
      </c>
      <c r="F10" s="10">
        <f>VLOOKUP(C10,courses_program1!A:C,2,0)</f>
        <v>3</v>
      </c>
      <c r="G10" s="10">
        <f>VLOOKUP(C10,courses_program1!A:C,3,0)</f>
        <v>6</v>
      </c>
      <c r="H10" s="2">
        <f>course_requisites!D:D</f>
        <v>1</v>
      </c>
      <c r="I10" s="2" t="str">
        <f t="shared" si="1"/>
        <v>S302M200</v>
      </c>
    </row>
    <row r="11">
      <c r="A11" s="2">
        <f>course_requisites!A:A</f>
        <v>8</v>
      </c>
      <c r="B11" s="2" t="str">
        <f>course_requisites!B:B</f>
        <v>S306</v>
      </c>
      <c r="C11" s="11" t="str">
        <f>course_requisites!C:C</f>
        <v>M221</v>
      </c>
      <c r="D11" s="10">
        <f>VLOOKUP(B11,courses_program1!A:C,2,0)</f>
        <v>3</v>
      </c>
      <c r="E11" s="10">
        <f>VLOOKUP(B11,courses_program1!A:C,3,0)</f>
        <v>12</v>
      </c>
      <c r="F11" s="10">
        <f>VLOOKUP(C11,courses_program1!A:C,2,0)</f>
        <v>2</v>
      </c>
      <c r="G11" s="10">
        <f>VLOOKUP(C11,courses_program1!A:C,3,0)</f>
        <v>3</v>
      </c>
      <c r="H11" s="2">
        <f>course_requisites!D:D</f>
        <v>1</v>
      </c>
      <c r="I11" s="2" t="str">
        <f t="shared" si="1"/>
        <v>S306M221</v>
      </c>
    </row>
    <row r="12">
      <c r="A12" s="2">
        <f>course_requisites!A:A</f>
        <v>9</v>
      </c>
      <c r="B12" s="2" t="str">
        <f>course_requisites!B:B</f>
        <v>S306</v>
      </c>
      <c r="C12" s="11" t="str">
        <f>course_requisites!C:C</f>
        <v>S200</v>
      </c>
      <c r="D12" s="10">
        <f>VLOOKUP(B12,courses_program1!A:C,2,0)</f>
        <v>3</v>
      </c>
      <c r="E12" s="10">
        <f>VLOOKUP(B12,courses_program1!A:C,3,0)</f>
        <v>12</v>
      </c>
      <c r="F12" s="10">
        <f>VLOOKUP(C12,courses_program1!A:C,2,0)</f>
        <v>6</v>
      </c>
      <c r="G12" s="10">
        <f>VLOOKUP(C12,courses_program1!A:C,3,0)</f>
        <v>3</v>
      </c>
      <c r="H12" s="2">
        <f>course_requisites!D:D</f>
        <v>1</v>
      </c>
      <c r="I12" s="2" t="str">
        <f t="shared" si="1"/>
        <v>S306S200</v>
      </c>
    </row>
    <row r="13">
      <c r="A13" s="2">
        <f>course_requisites!A:A</f>
        <v>9</v>
      </c>
      <c r="B13" s="2" t="str">
        <f>course_requisites!B:B</f>
        <v>S306</v>
      </c>
      <c r="C13" s="11" t="str">
        <f>course_requisites!C:C</f>
        <v>S251</v>
      </c>
      <c r="D13" s="10">
        <f>VLOOKUP(B13,courses_program1!A:C,2,0)</f>
        <v>3</v>
      </c>
      <c r="E13" s="10">
        <f>VLOOKUP(B13,courses_program1!A:C,3,0)</f>
        <v>12</v>
      </c>
      <c r="F13" s="10">
        <f>VLOOKUP(C13,courses_program1!A:C,2,0)</f>
        <v>5</v>
      </c>
      <c r="G13" s="10">
        <f>VLOOKUP(C13,courses_program1!A:C,3,0)</f>
        <v>6</v>
      </c>
      <c r="H13" s="2">
        <f>course_requisites!D:D</f>
        <v>0</v>
      </c>
      <c r="I13" s="2" t="str">
        <f t="shared" si="1"/>
        <v>S306S251</v>
      </c>
    </row>
    <row r="14">
      <c r="A14" s="2">
        <f>course_requisites!A:A</f>
        <v>9</v>
      </c>
      <c r="B14" s="2" t="str">
        <f>course_requisites!B:B</f>
        <v>S306</v>
      </c>
      <c r="C14" s="11" t="str">
        <f>course_requisites!C:C</f>
        <v>S300</v>
      </c>
      <c r="D14" s="10">
        <f>VLOOKUP(B14,courses_program1!A:C,2,0)</f>
        <v>3</v>
      </c>
      <c r="E14" s="10">
        <f>VLOOKUP(B14,courses_program1!A:C,3,0)</f>
        <v>12</v>
      </c>
      <c r="F14" s="10">
        <f>VLOOKUP(C14,courses_program1!A:C,2,0)</f>
        <v>4</v>
      </c>
      <c r="G14" s="10">
        <f>VLOOKUP(C14,courses_program1!A:C,3,0)</f>
        <v>9</v>
      </c>
      <c r="H14" s="2">
        <f>course_requisites!D:D</f>
        <v>0</v>
      </c>
      <c r="I14" s="2" t="str">
        <f t="shared" si="1"/>
        <v>S306S300</v>
      </c>
    </row>
    <row r="15">
      <c r="A15" s="2">
        <f>course_requisites!A:A</f>
        <v>10</v>
      </c>
      <c r="B15" s="2" t="str">
        <f>course_requisites!B:B</f>
        <v>S306</v>
      </c>
      <c r="C15" s="11" t="str">
        <f>course_requisites!C:C</f>
        <v>S302</v>
      </c>
      <c r="D15" s="10">
        <f>VLOOKUP(B15,courses_program1!A:C,2,0)</f>
        <v>3</v>
      </c>
      <c r="E15" s="10">
        <f>VLOOKUP(B15,courses_program1!A:C,3,0)</f>
        <v>12</v>
      </c>
      <c r="F15" s="10">
        <f>VLOOKUP(C15,courses_program1!A:C,2,0)</f>
        <v>-2</v>
      </c>
      <c r="G15" s="10">
        <f>VLOOKUP(C15,courses_program1!A:C,3,0)</f>
        <v>9</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18</v>
      </c>
      <c r="F16" s="10">
        <f>VLOOKUP(C16,courses_program1!A:C,2,0)</f>
        <v>3</v>
      </c>
      <c r="G16" s="10">
        <f>VLOOKUP(C16,courses_program1!A:C,3,0)</f>
        <v>12</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18</v>
      </c>
      <c r="F17" s="10">
        <f>VLOOKUP(C17,courses_program1!A:C,2,0)</f>
        <v>2</v>
      </c>
      <c r="G17" s="10">
        <f>VLOOKUP(C17,courses_program1!A:C,3,0)</f>
        <v>15</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18</v>
      </c>
      <c r="F18" s="10">
        <f>VLOOKUP(C18,courses_program1!A:C,2,0)</f>
        <v>1</v>
      </c>
      <c r="G18" s="10">
        <f>VLOOKUP(C18,courses_program1!A:C,3,0)</f>
        <v>6</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18</v>
      </c>
      <c r="F19" s="10">
        <f>VLOOKUP(C19,courses_program1!A:C,2,0)</f>
        <v>2</v>
      </c>
      <c r="G19" s="10">
        <f>VLOOKUP(C19,courses_program1!A:C,3,0)</f>
        <v>3</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18</v>
      </c>
      <c r="F20" s="10">
        <f>VLOOKUP(C20,courses_program1!A:C,2,0)</f>
        <v>-2</v>
      </c>
      <c r="G20" s="10">
        <f>VLOOKUP(C20,courses_program1!A:C,3,0)</f>
        <v>9</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4</v>
      </c>
      <c r="E21" s="10">
        <f>VLOOKUP(B21,courses_program1!A:C,3,0)</f>
        <v>3</v>
      </c>
      <c r="F21" s="10">
        <f>VLOOKUP(C21,courses_program1!A:C,2,0)</f>
        <v>4</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3</v>
      </c>
      <c r="E22" s="10">
        <f>VLOOKUP(B22,courses_program1!A:C,3,0)</f>
        <v>6</v>
      </c>
      <c r="F22" s="10">
        <f>VLOOKUP(C22,courses_program1!A:C,2,0)</f>
        <v>4</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v>
      </c>
      <c r="E23" s="10">
        <f>VLOOKUP(B23,courses_program1!A:C,3,0)</f>
        <v>12</v>
      </c>
      <c r="F23" s="10">
        <f>VLOOKUP(C23,courses_program1!A:C,2,0)</f>
        <v>4</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v>
      </c>
      <c r="E24" s="10">
        <f>VLOOKUP(B24,courses_program1!A:C,3,0)</f>
        <v>12</v>
      </c>
      <c r="F24" s="10">
        <f>VLOOKUP(C24,courses_program1!A:C,2,0)</f>
        <v>2</v>
      </c>
      <c r="G24" s="10">
        <f>VLOOKUP(C24,courses_program1!A:C,3,0)</f>
        <v>9</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v>
      </c>
      <c r="E25" s="10">
        <f>VLOOKUP(B25,courses_program1!A:C,3,0)</f>
        <v>12</v>
      </c>
      <c r="F25" s="10">
        <f>VLOOKUP(C25,courses_program1!A:C,2,0)</f>
        <v>2</v>
      </c>
      <c r="G25" s="10">
        <f>VLOOKUP(C25,courses_program1!A:C,3,0)</f>
        <v>3</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2</v>
      </c>
      <c r="E26" s="10">
        <f>VLOOKUP(B26,courses_program1!A:C,3,0)</f>
        <v>9</v>
      </c>
      <c r="F26" s="10">
        <f>VLOOKUP(C26,courses_program1!A:C,2,0)</f>
        <v>4</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2</v>
      </c>
      <c r="E27" s="10">
        <f>VLOOKUP(B27,courses_program1!A:C,3,0)</f>
        <v>9</v>
      </c>
      <c r="F27" s="10">
        <f>VLOOKUP(C27,courses_program1!A:C,2,0)</f>
        <v>2</v>
      </c>
      <c r="G27" s="10">
        <f>VLOOKUP(C27,courses_program1!A:C,3,0)</f>
        <v>3</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2</v>
      </c>
      <c r="E28" s="10">
        <f>VLOOKUP(B28,courses_program1!A:C,3,0)</f>
        <v>9</v>
      </c>
      <c r="F28" s="10">
        <f>VLOOKUP(C28,courses_program1!A:C,2,0)</f>
        <v>3</v>
      </c>
      <c r="G28" s="10">
        <f>VLOOKUP(C28,courses_program1!A:C,3,0)</f>
        <v>6</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v>
      </c>
      <c r="E29" s="10">
        <f>VLOOKUP(B29,courses_program1!A:C,3,0)</f>
        <v>3</v>
      </c>
      <c r="F29" s="10">
        <f>VLOOKUP(C29,courses_program1!A:C,2,0)</f>
        <v>4</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0</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v>
      </c>
      <c r="E31" s="10">
        <f>VLOOKUP(B31,courses_program1!A:C,3,0)</f>
        <v>6</v>
      </c>
      <c r="F31" s="10">
        <f>VLOOKUP(C31,courses_program1!A:C,2,0)</f>
        <v>4</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v>
      </c>
      <c r="E32" s="10">
        <f>VLOOKUP(B32,courses_program1!A:C,3,0)</f>
        <v>6</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v>
      </c>
      <c r="E33" s="10">
        <f>VLOOKUP(B33,courses_program1!A:C,3,0)</f>
        <v>6</v>
      </c>
      <c r="F33" s="10">
        <f>VLOOKUP(C33,courses_program1!A:C,2,0)</f>
        <v>-2</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v>
      </c>
      <c r="E34" s="10">
        <f>VLOOKUP(B34,courses_program1!A:C,3,0)</f>
        <v>6</v>
      </c>
      <c r="F34" s="10">
        <f>VLOOKUP(C34,courses_program1!A:C,2,0)</f>
        <v>-6</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-4</v>
      </c>
      <c r="E35" s="10">
        <f>VLOOKUP(B35,courses_program1!A:C,3,0)</f>
        <v>9</v>
      </c>
      <c r="F35" s="10">
        <f>VLOOKUP(C35,courses_program1!A:C,2,0)</f>
        <v>-1</v>
      </c>
      <c r="G35" s="10">
        <f>VLOOKUP(C35,courses_program1!A:C,3,0)</f>
        <v>6</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-4</v>
      </c>
      <c r="E36" s="10">
        <f>VLOOKUP(B36,courses_program1!A:C,3,0)</f>
        <v>9</v>
      </c>
      <c r="F36" s="10">
        <f>VLOOKUP(C36,courses_program1!A:C,2,0)</f>
        <v>-5</v>
      </c>
      <c r="G36" s="10">
        <f>VLOOKUP(C36,courses_program1!A:C,3,0)</f>
        <v>6</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-4</v>
      </c>
      <c r="E37" s="10">
        <f>VLOOKUP(B37,courses_program1!A:C,3,0)</f>
        <v>9</v>
      </c>
      <c r="F37" s="10">
        <f>VLOOKUP(C37,courses_program1!A:C,2,0)</f>
        <v>-6</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0</v>
      </c>
      <c r="E38" s="10">
        <f>VLOOKUP(B38,courses_program1!A:C,3,0)</f>
        <v>15</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0</v>
      </c>
      <c r="E39" s="10">
        <f>VLOOKUP(B39,courses_program1!A:C,3,0)</f>
        <v>15</v>
      </c>
      <c r="F39" s="10">
        <f>VLOOKUP(C39,courses_program1!A:C,2,0)</f>
        <v>-6</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0</v>
      </c>
      <c r="E40" s="10">
        <f>VLOOKUP(B40,courses_program1!A:C,3,0)</f>
        <v>15</v>
      </c>
      <c r="F40" s="10">
        <f>VLOOKUP(C40,courses_program1!A:C,2,0)</f>
        <v>-3</v>
      </c>
      <c r="G40" s="10">
        <f>VLOOKUP(C40,courses_program1!A:C,3,0)</f>
        <v>6</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0</v>
      </c>
      <c r="E41" s="10">
        <f>VLOOKUP(B41,courses_program1!A:C,3,0)</f>
        <v>15</v>
      </c>
      <c r="F41" s="10">
        <f>VLOOKUP(C41,courses_program1!A:C,2,0)</f>
        <v>1</v>
      </c>
      <c r="G41" s="10">
        <f>VLOOKUP(C41,courses_program1!A:C,3,0)</f>
        <v>12</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0</v>
      </c>
      <c r="E42" s="10">
        <f>VLOOKUP(B42,courses_program1!A:C,3,0)</f>
        <v>15</v>
      </c>
      <c r="F42" s="10">
        <f>VLOOKUP(C42,courses_program1!A:C,2,0)</f>
        <v>-4</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0</v>
      </c>
      <c r="E43" s="10">
        <f>VLOOKUP(B43,courses_program1!A:C,3,0)</f>
        <v>15</v>
      </c>
      <c r="F43" s="10">
        <f>VLOOKUP(C43,courses_program1!A:C,2,0)</f>
        <v>-4</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-3</v>
      </c>
      <c r="E44" s="10">
        <f>VLOOKUP(B44,courses_program1!A:C,3,0)</f>
        <v>12</v>
      </c>
      <c r="F44" s="10">
        <f>VLOOKUP(C44,courses_program1!A:C,2,0)</f>
        <v>-2</v>
      </c>
      <c r="G44" s="10">
        <f>VLOOKUP(C44,courses_program1!A:C,3,0)</f>
        <v>3</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-3</v>
      </c>
      <c r="E45" s="10">
        <f>VLOOKUP(B45,courses_program1!A:C,3,0)</f>
        <v>12</v>
      </c>
      <c r="F45" s="10">
        <f>VLOOKUP(C45,courses_program1!A:C,2,0)</f>
        <v>-6</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-3</v>
      </c>
      <c r="E46" s="10">
        <f>VLOOKUP(B46,courses_program1!A:C,3,0)</f>
        <v>12</v>
      </c>
      <c r="F46" s="10">
        <f>VLOOKUP(C46,courses_program1!A:C,2,0)</f>
        <v>-3</v>
      </c>
      <c r="G46" s="10">
        <f>VLOOKUP(C46,courses_program1!A:C,3,0)</f>
        <v>6</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-3</v>
      </c>
      <c r="E47" s="10">
        <f>VLOOKUP(B47,courses_program1!A:C,3,0)</f>
        <v>12</v>
      </c>
      <c r="F47" s="10">
        <f>VLOOKUP(C47,courses_program1!A:C,2,0)</f>
        <v>-4</v>
      </c>
      <c r="G47" s="10">
        <f>VLOOKUP(C47,courses_program1!A:C,3,0)</f>
        <v>9</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21</v>
      </c>
      <c r="F48" s="10">
        <f>VLOOKUP(C48,courses_program1!A:C,2,0)</f>
        <v>-2</v>
      </c>
      <c r="G48" s="10">
        <f>VLOOKUP(C48,courses_program1!A:C,3,0)</f>
        <v>15</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21</v>
      </c>
      <c r="F49" s="10">
        <f>VLOOKUP(C49,courses_program1!A:C,2,0)</f>
        <v>2</v>
      </c>
      <c r="G49" s="10">
        <f>VLOOKUP(C49,courses_program1!A:C,3,0)</f>
        <v>15</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21</v>
      </c>
      <c r="F50" s="10">
        <f>VLOOKUP(C50,courses_program1!A:C,2,0)</f>
        <v>1</v>
      </c>
      <c r="G50" s="10">
        <f>VLOOKUP(C50,courses_program1!A:C,3,0)</f>
        <v>6</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21</v>
      </c>
      <c r="F51" s="10">
        <f>VLOOKUP(C51,courses_program1!A:C,2,0)</f>
        <v>0</v>
      </c>
      <c r="G51" s="10">
        <f>VLOOKUP(C51,courses_program1!A:C,3,0)</f>
        <v>18</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-4</v>
      </c>
      <c r="E52" s="10">
        <f>VLOOKUP(B52,courses_program1!A:C,3,0)</f>
        <v>3</v>
      </c>
      <c r="F52" s="10">
        <f>VLOOKUP(C52,courses_program1!A:C,2,0)</f>
        <v>-2</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-5</v>
      </c>
      <c r="E53" s="10">
        <f>VLOOKUP(B53,courses_program1!A:C,3,0)</f>
        <v>6</v>
      </c>
      <c r="F53" s="10">
        <f>VLOOKUP(C53,courses_program1!A:C,2,0)</f>
        <v>-4</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-5</v>
      </c>
      <c r="E54" s="10">
        <f>VLOOKUP(B54,courses_program1!A:C,3,0)</f>
        <v>6</v>
      </c>
      <c r="F54" s="10">
        <f>VLOOKUP(C54,courses_program1!A:C,2,0)</f>
        <v>-4</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-6</v>
      </c>
      <c r="E55" s="10">
        <f>VLOOKUP(B55,courses_program1!A:C,3,0)</f>
        <v>3</v>
      </c>
      <c r="F55" s="10">
        <f>VLOOKUP(C55,courses_program1!A:C,2,0)</f>
        <v>-2</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-6</v>
      </c>
      <c r="E56" s="10">
        <f>VLOOKUP(B56,courses_program1!A:C,3,0)</f>
        <v>3</v>
      </c>
      <c r="F56" s="10">
        <f>VLOOKUP(C56,courses_program1!A:C,2,0)</f>
        <v>-4</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-3</v>
      </c>
      <c r="E57" s="10">
        <f>VLOOKUP(B57,courses_program1!A:C,3,0)</f>
        <v>6</v>
      </c>
      <c r="F57" s="10">
        <f>VLOOKUP(C57,courses_program1!A:C,2,0)</f>
        <v>-4</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-3</v>
      </c>
      <c r="E58" s="10">
        <f>VLOOKUP(B58,courses_program1!A:C,3,0)</f>
        <v>6</v>
      </c>
      <c r="F58" s="10">
        <f>VLOOKUP(C58,courses_program1!A:C,2,0)</f>
        <v>-4</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-2</v>
      </c>
      <c r="E59" s="10">
        <f>VLOOKUP(B59,courses_program1!A:C,3,0)</f>
        <v>15</v>
      </c>
      <c r="F59" s="10">
        <f>VLOOKUP(C59,courses_program1!A:C,2,0)</f>
        <v>-6</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-2</v>
      </c>
      <c r="E60" s="10">
        <f>VLOOKUP(B60,courses_program1!A:C,3,0)</f>
        <v>15</v>
      </c>
      <c r="F60" s="10">
        <f>VLOOKUP(C60,courses_program1!A:C,2,0)</f>
        <v>-3</v>
      </c>
      <c r="G60" s="10">
        <f>VLOOKUP(C60,courses_program1!A:C,3,0)</f>
        <v>6</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-2</v>
      </c>
      <c r="E61" s="10">
        <f>VLOOKUP(B61,courses_program1!A:C,3,0)</f>
        <v>15</v>
      </c>
      <c r="F61" s="10">
        <f>VLOOKUP(C61,courses_program1!A:C,2,0)</f>
        <v>-4</v>
      </c>
      <c r="G61" s="10">
        <f>VLOOKUP(C61,courses_program1!A:C,3,0)</f>
        <v>9</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-2</v>
      </c>
      <c r="E62" s="10">
        <f>VLOOKUP(B62,courses_program1!A:C,3,0)</f>
        <v>15</v>
      </c>
      <c r="F62" s="10">
        <f>VLOOKUP(C62,courses_program1!A:C,2,0)</f>
        <v>1</v>
      </c>
      <c r="G62" s="10">
        <f>VLOOKUP(C62,courses_program1!A:C,3,0)</f>
        <v>12</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-2</v>
      </c>
      <c r="E63" s="10">
        <f>VLOOKUP(B63,courses_program1!A:C,3,0)</f>
        <v>15</v>
      </c>
      <c r="F63" s="10">
        <f>VLOOKUP(C63,courses_program1!A:C,2,0)</f>
        <v>-4</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-2</v>
      </c>
      <c r="E64" s="10">
        <f>VLOOKUP(B64,courses_program1!A:C,3,0)</f>
        <v>15</v>
      </c>
      <c r="F64" s="10">
        <f>VLOOKUP(C64,courses_program1!A:C,2,0)</f>
        <v>-4</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2</v>
      </c>
      <c r="E65" s="10">
        <f>VLOOKUP(B65,courses_program1!A:C,3,0)</f>
        <v>15</v>
      </c>
      <c r="F65" s="10">
        <f>VLOOKUP(C65,courses_program1!A:C,2,0)</f>
        <v>-1</v>
      </c>
      <c r="G65" s="10">
        <f>VLOOKUP(C65,courses_program1!A:C,3,0)</f>
        <v>12</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2</v>
      </c>
      <c r="E66" s="10">
        <f>VLOOKUP(B66,courses_program1!A:C,3,0)</f>
        <v>15</v>
      </c>
      <c r="F66" s="10">
        <f>VLOOKUP(C66,courses_program1!A:C,2,0)</f>
        <v>-4</v>
      </c>
      <c r="G66" s="10">
        <f>VLOOKUP(C66,courses_program1!A:C,3,0)</f>
        <v>9</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2</v>
      </c>
      <c r="E67" s="10">
        <f>VLOOKUP(B67,courses_program1!A:C,3,0)</f>
        <v>15</v>
      </c>
      <c r="F67" s="10">
        <f>VLOOKUP(C67,courses_program1!A:C,2,0)</f>
        <v>2</v>
      </c>
      <c r="G67" s="10">
        <f>VLOOKUP(C67,courses_program1!A:C,3,0)</f>
        <v>3</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2</v>
      </c>
      <c r="E68" s="10">
        <f>VLOOKUP(B68,courses_program1!A:C,3,0)</f>
        <v>15</v>
      </c>
      <c r="F68" s="10">
        <f>VLOOKUP(C68,courses_program1!A:C,2,0)</f>
        <v>3</v>
      </c>
      <c r="G68" s="10">
        <f>VLOOKUP(C68,courses_program1!A:C,3,0)</f>
        <v>6</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2</v>
      </c>
      <c r="E69" s="10">
        <f>VLOOKUP(B69,courses_program1!A:C,3,0)</f>
        <v>15</v>
      </c>
      <c r="F69" s="10">
        <f>VLOOKUP(C69,courses_program1!A:C,2,0)</f>
        <v>5</v>
      </c>
      <c r="G69" s="10">
        <f>VLOOKUP(C69,courses_program1!A:C,3,0)</f>
        <v>6</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2</v>
      </c>
      <c r="E70" s="10">
        <f>VLOOKUP(B70,courses_program1!A:C,3,0)</f>
        <v>15</v>
      </c>
      <c r="F70" s="10">
        <f>VLOOKUP(C70,courses_program1!A:C,2,0)</f>
        <v>-2</v>
      </c>
      <c r="G70" s="10">
        <f>VLOOKUP(C70,courses_program1!A:C,3,0)</f>
        <v>9</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-1</v>
      </c>
      <c r="E71" s="10">
        <f>VLOOKUP(B71,courses_program1!A:C,3,0)</f>
        <v>12</v>
      </c>
      <c r="F71" s="10">
        <f>VLOOKUP(C71,courses_program1!A:C,2,0)</f>
        <v>-3</v>
      </c>
      <c r="G71" s="10">
        <f>VLOOKUP(C71,courses_program1!A:C,3,0)</f>
        <v>6</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-1</v>
      </c>
      <c r="E72" s="10">
        <f>VLOOKUP(B72,courses_program1!A:C,3,0)</f>
        <v>12</v>
      </c>
      <c r="F72" s="10">
        <f>VLOOKUP(C72,courses_program1!A:C,2,0)</f>
        <v>-5</v>
      </c>
      <c r="G72" s="10">
        <f>VLOOKUP(C72,courses_program1!A:C,3,0)</f>
        <v>6</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-1</v>
      </c>
      <c r="E73" s="10">
        <f>VLOOKUP(B73,courses_program1!A:C,3,0)</f>
        <v>12</v>
      </c>
      <c r="F73" s="10">
        <f>VLOOKUP(C73,courses_program1!A:C,2,0)</f>
        <v>0</v>
      </c>
      <c r="G73" s="10">
        <f>VLOOKUP(C73,courses_program1!A:C,3,0)</f>
        <v>9</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-1</v>
      </c>
      <c r="E74" s="10">
        <f>VLOOKUP(B74,courses_program1!A:C,3,0)</f>
        <v>12</v>
      </c>
      <c r="F74" s="10">
        <f>VLOOKUP(C74,courses_program1!A:C,2,0)</f>
        <v>3</v>
      </c>
      <c r="G74" s="10">
        <f>VLOOKUP(C74,courses_program1!A:C,3,0)</f>
        <v>6</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9</v>
      </c>
      <c r="F75" s="10">
        <f>VLOOKUP(C75,courses_program1!A:C,2,0)</f>
        <v>4</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9</v>
      </c>
      <c r="F76" s="10">
        <f>VLOOKUP(C76,courses_program1!A:C,2,0)</f>
        <v>3</v>
      </c>
      <c r="G76" s="10">
        <f>VLOOKUP(C76,courses_program1!A:C,3,0)</f>
        <v>6</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