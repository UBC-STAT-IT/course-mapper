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worklearn/Documents/course-mapper/data/"/>
    </mc:Choice>
  </mc:AlternateContent>
  <xr:revisionPtr revIDLastSave="0" documentId="13_ncr:1_{DC6CD182-21FE-624E-9F63-DD6DD469E2DB}" xr6:coauthVersionLast="47" xr6:coauthVersionMax="47" xr10:uidLastSave="{00000000-0000-0000-0000-000000000000}"/>
  <bookViews>
    <workbookView xWindow="-38400" yWindow="0" windowWidth="38400" windowHeight="21600" activeTab="7" xr2:uid="{00000000-000D-0000-FFFF-FFFF00000000}"/>
  </bookViews>
  <sheets>
    <sheet name="courses" sheetId="1" r:id="rId1"/>
    <sheet name="requisites" sheetId="2" r:id="rId2"/>
    <sheet name="course_requisites" sheetId="3" r:id="rId3"/>
    <sheet name="exclusions" sheetId="4" r:id="rId4"/>
    <sheet name="course_exclusions" sheetId="5" r:id="rId5"/>
    <sheet name="equivalencies" sheetId="15" r:id="rId6"/>
    <sheet name="programs" sheetId="6" r:id="rId7"/>
    <sheet name="courses_program1" sheetId="7" r:id="rId8"/>
    <sheet name="requisites_program1" sheetId="8" r:id="rId9"/>
    <sheet name="courses_program2" sheetId="9" r:id="rId10"/>
    <sheet name="requisites_program2" sheetId="10" r:id="rId11"/>
    <sheet name="courses_program3" sheetId="11" r:id="rId12"/>
    <sheet name="requisites_program3" sheetId="12" r:id="rId13"/>
    <sheet name="courses_program4" sheetId="13" r:id="rId14"/>
    <sheet name="requisites_program4" sheetId="14" r:id="rId15"/>
    <sheet name="tracks" sheetId="16" r:id="rId16"/>
    <sheet name="reflections"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55" i="14" l="1"/>
  <c r="G55" i="14"/>
  <c r="F55" i="14"/>
  <c r="E55" i="14"/>
  <c r="D55" i="14"/>
  <c r="I54" i="14"/>
  <c r="G54" i="14"/>
  <c r="F54" i="14"/>
  <c r="E54" i="14"/>
  <c r="D54" i="14"/>
  <c r="I53" i="14"/>
  <c r="G53" i="14"/>
  <c r="F53" i="14"/>
  <c r="E53" i="14"/>
  <c r="D53" i="14"/>
  <c r="I52" i="14"/>
  <c r="G52" i="14"/>
  <c r="F52" i="14"/>
  <c r="E52" i="14"/>
  <c r="D52" i="14"/>
  <c r="I51" i="14"/>
  <c r="G51" i="14"/>
  <c r="F51" i="14"/>
  <c r="E51" i="14"/>
  <c r="D51" i="14"/>
  <c r="I50" i="14"/>
  <c r="G50" i="14"/>
  <c r="F50" i="14"/>
  <c r="E50" i="14"/>
  <c r="D50" i="14"/>
  <c r="I49" i="14"/>
  <c r="G49" i="14"/>
  <c r="F49" i="14"/>
  <c r="E49" i="14"/>
  <c r="D49" i="14"/>
  <c r="I48" i="14"/>
  <c r="G48" i="14"/>
  <c r="F48" i="14"/>
  <c r="E48" i="14"/>
  <c r="D48" i="14"/>
  <c r="I47" i="14"/>
  <c r="G47" i="14"/>
  <c r="F47" i="14"/>
  <c r="E47" i="14"/>
  <c r="D47" i="14"/>
  <c r="I46" i="14"/>
  <c r="G46" i="14"/>
  <c r="F46" i="14"/>
  <c r="E46" i="14"/>
  <c r="D46" i="14"/>
  <c r="I45" i="14"/>
  <c r="G45" i="14"/>
  <c r="F45" i="14"/>
  <c r="E45" i="14"/>
  <c r="D45" i="14"/>
  <c r="I44" i="14"/>
  <c r="G44" i="14"/>
  <c r="F44" i="14"/>
  <c r="E44" i="14"/>
  <c r="D44" i="14"/>
  <c r="I43" i="14"/>
  <c r="G43" i="14"/>
  <c r="F43" i="14"/>
  <c r="E43" i="14"/>
  <c r="D43" i="14"/>
  <c r="I42" i="14"/>
  <c r="G42" i="14"/>
  <c r="F42" i="14"/>
  <c r="E42" i="14"/>
  <c r="D42" i="14"/>
  <c r="I41" i="14"/>
  <c r="G41" i="14"/>
  <c r="F41" i="14"/>
  <c r="E41" i="14"/>
  <c r="D41" i="14"/>
  <c r="I40" i="14"/>
  <c r="G40" i="14"/>
  <c r="F40" i="14"/>
  <c r="E40" i="14"/>
  <c r="D40" i="14"/>
  <c r="I39" i="14"/>
  <c r="G39" i="14"/>
  <c r="F39" i="14"/>
  <c r="E39" i="14"/>
  <c r="D39" i="14"/>
  <c r="I38" i="14"/>
  <c r="G38" i="14"/>
  <c r="F38" i="14"/>
  <c r="E38" i="14"/>
  <c r="D38" i="14"/>
  <c r="I37" i="14"/>
  <c r="G37" i="14"/>
  <c r="F37" i="14"/>
  <c r="E37" i="14"/>
  <c r="D37" i="14"/>
  <c r="I36" i="14"/>
  <c r="G36" i="14"/>
  <c r="F36" i="14"/>
  <c r="E36" i="14"/>
  <c r="D36" i="14"/>
  <c r="I35" i="14"/>
  <c r="G35" i="14"/>
  <c r="F35" i="14"/>
  <c r="E35" i="14"/>
  <c r="D35" i="14"/>
  <c r="I34" i="14"/>
  <c r="G34" i="14"/>
  <c r="F34" i="14"/>
  <c r="E34" i="14"/>
  <c r="D34" i="14"/>
  <c r="I33" i="14"/>
  <c r="G33" i="14"/>
  <c r="F33" i="14"/>
  <c r="E33" i="14"/>
  <c r="D33" i="14"/>
  <c r="I32" i="14"/>
  <c r="G32" i="14"/>
  <c r="F32" i="14"/>
  <c r="E32" i="14"/>
  <c r="D32" i="14"/>
  <c r="I31" i="14"/>
  <c r="G31" i="14"/>
  <c r="F31" i="14"/>
  <c r="E31" i="14"/>
  <c r="D31" i="14"/>
  <c r="I30" i="14"/>
  <c r="G30" i="14"/>
  <c r="F30" i="14"/>
  <c r="E30" i="14"/>
  <c r="D30" i="14"/>
  <c r="I29" i="14"/>
  <c r="G29" i="14"/>
  <c r="F29" i="14"/>
  <c r="E29" i="14"/>
  <c r="D29" i="14"/>
  <c r="I28" i="14"/>
  <c r="G28" i="14"/>
  <c r="F28" i="14"/>
  <c r="E28" i="14"/>
  <c r="D28" i="14"/>
  <c r="I27" i="14"/>
  <c r="G27" i="14"/>
  <c r="F27" i="14"/>
  <c r="E27" i="14"/>
  <c r="D27" i="14"/>
  <c r="I26" i="14"/>
  <c r="G26" i="14"/>
  <c r="F26" i="14"/>
  <c r="E26" i="14"/>
  <c r="D26" i="14"/>
  <c r="I25" i="14"/>
  <c r="G25" i="14"/>
  <c r="F25" i="14"/>
  <c r="E25" i="14"/>
  <c r="D25" i="14"/>
  <c r="I24" i="14"/>
  <c r="G24" i="14"/>
  <c r="F24" i="14"/>
  <c r="E24" i="14"/>
  <c r="D24" i="14"/>
  <c r="I23" i="14"/>
  <c r="G23" i="14"/>
  <c r="F23" i="14"/>
  <c r="E23" i="14"/>
  <c r="D23" i="14"/>
  <c r="I22" i="14"/>
  <c r="G22" i="14"/>
  <c r="F22" i="14"/>
  <c r="E22" i="14"/>
  <c r="D22" i="14"/>
  <c r="I21" i="14"/>
  <c r="G21" i="14"/>
  <c r="F21" i="14"/>
  <c r="E21" i="14"/>
  <c r="D21" i="14"/>
  <c r="I20" i="14"/>
  <c r="G20" i="14"/>
  <c r="F20" i="14"/>
  <c r="E20" i="14"/>
  <c r="D20" i="14"/>
  <c r="I19" i="14"/>
  <c r="G19" i="14"/>
  <c r="F19" i="14"/>
  <c r="E19" i="14"/>
  <c r="D19" i="14"/>
  <c r="I18" i="14"/>
  <c r="G18" i="14"/>
  <c r="F18" i="14"/>
  <c r="E18" i="14"/>
  <c r="D18" i="14"/>
  <c r="I17" i="14"/>
  <c r="G17" i="14"/>
  <c r="F17" i="14"/>
  <c r="E17" i="14"/>
  <c r="D17" i="14"/>
  <c r="I16" i="14"/>
  <c r="G16" i="14"/>
  <c r="F16" i="14"/>
  <c r="E16" i="14"/>
  <c r="D16" i="14"/>
  <c r="I15" i="14"/>
  <c r="G15" i="14"/>
  <c r="F15" i="14"/>
  <c r="E15" i="14"/>
  <c r="D15" i="14"/>
  <c r="I14" i="14"/>
  <c r="G14" i="14"/>
  <c r="F14" i="14"/>
  <c r="E14" i="14"/>
  <c r="D14" i="14"/>
  <c r="I13" i="14"/>
  <c r="G13" i="14"/>
  <c r="F13" i="14"/>
  <c r="E13" i="14"/>
  <c r="D13" i="14"/>
  <c r="I12" i="14"/>
  <c r="G12" i="14"/>
  <c r="F12" i="14"/>
  <c r="E12" i="14"/>
  <c r="D12" i="14"/>
  <c r="I11" i="14"/>
  <c r="G11" i="14"/>
  <c r="F11" i="14"/>
  <c r="E11" i="14"/>
  <c r="D11" i="14"/>
  <c r="I10" i="14"/>
  <c r="G10" i="14"/>
  <c r="F10" i="14"/>
  <c r="E10" i="14"/>
  <c r="D10" i="14"/>
  <c r="I9" i="14"/>
  <c r="G9" i="14"/>
  <c r="F9" i="14"/>
  <c r="E9" i="14"/>
  <c r="D9" i="14"/>
  <c r="I8" i="14"/>
  <c r="G8" i="14"/>
  <c r="F8" i="14"/>
  <c r="E8" i="14"/>
  <c r="D8" i="14"/>
  <c r="I7" i="14"/>
  <c r="G7" i="14"/>
  <c r="F7" i="14"/>
  <c r="E7" i="14"/>
  <c r="D7" i="14"/>
  <c r="I6" i="14"/>
  <c r="G6" i="14"/>
  <c r="F6" i="14"/>
  <c r="E6" i="14"/>
  <c r="D6" i="14"/>
  <c r="I5" i="14"/>
  <c r="G5" i="14"/>
  <c r="F5" i="14"/>
  <c r="E5" i="14"/>
  <c r="D5" i="14"/>
  <c r="I4" i="14"/>
  <c r="G4" i="14"/>
  <c r="F4" i="14"/>
  <c r="E4" i="14"/>
  <c r="D4" i="14"/>
  <c r="I3" i="14"/>
  <c r="G3" i="14"/>
  <c r="F3" i="14"/>
  <c r="E3" i="14"/>
  <c r="D3" i="14"/>
  <c r="I2" i="14"/>
  <c r="G2" i="14"/>
  <c r="F2" i="14"/>
  <c r="E2" i="14"/>
  <c r="D2" i="14"/>
  <c r="I55" i="12"/>
  <c r="G55" i="12"/>
  <c r="F55" i="12"/>
  <c r="E55" i="12"/>
  <c r="D55" i="12"/>
  <c r="I54" i="12"/>
  <c r="G54" i="12"/>
  <c r="F54" i="12"/>
  <c r="E54" i="12"/>
  <c r="D54" i="12"/>
  <c r="I53" i="12"/>
  <c r="G53" i="12"/>
  <c r="F53" i="12"/>
  <c r="E53" i="12"/>
  <c r="D53" i="12"/>
  <c r="I52" i="12"/>
  <c r="G52" i="12"/>
  <c r="F52" i="12"/>
  <c r="E52" i="12"/>
  <c r="D52" i="12"/>
  <c r="I51" i="12"/>
  <c r="G51" i="12"/>
  <c r="F51" i="12"/>
  <c r="E51" i="12"/>
  <c r="D51" i="12"/>
  <c r="I50" i="12"/>
  <c r="G50" i="12"/>
  <c r="F50" i="12"/>
  <c r="E50" i="12"/>
  <c r="D50" i="12"/>
  <c r="I49" i="12"/>
  <c r="G49" i="12"/>
  <c r="F49" i="12"/>
  <c r="E49" i="12"/>
  <c r="D49" i="12"/>
  <c r="I48" i="12"/>
  <c r="G48" i="12"/>
  <c r="F48" i="12"/>
  <c r="E48" i="12"/>
  <c r="D48" i="12"/>
  <c r="I47" i="12"/>
  <c r="G47" i="12"/>
  <c r="F47" i="12"/>
  <c r="E47" i="12"/>
  <c r="D47" i="12"/>
  <c r="I46" i="12"/>
  <c r="G46" i="12"/>
  <c r="F46" i="12"/>
  <c r="E46" i="12"/>
  <c r="D46" i="12"/>
  <c r="I45" i="12"/>
  <c r="G45" i="12"/>
  <c r="F45" i="12"/>
  <c r="E45" i="12"/>
  <c r="D45" i="12"/>
  <c r="I44" i="12"/>
  <c r="G44" i="12"/>
  <c r="F44" i="12"/>
  <c r="E44" i="12"/>
  <c r="D44" i="12"/>
  <c r="I43" i="12"/>
  <c r="G43" i="12"/>
  <c r="F43" i="12"/>
  <c r="E43" i="12"/>
  <c r="D43" i="12"/>
  <c r="I42" i="12"/>
  <c r="G42" i="12"/>
  <c r="F42" i="12"/>
  <c r="E42" i="12"/>
  <c r="D42" i="12"/>
  <c r="I41" i="12"/>
  <c r="G41" i="12"/>
  <c r="F41" i="12"/>
  <c r="E41" i="12"/>
  <c r="D41" i="12"/>
  <c r="I40" i="12"/>
  <c r="G40" i="12"/>
  <c r="F40" i="12"/>
  <c r="E40" i="12"/>
  <c r="D40" i="12"/>
  <c r="I39" i="12"/>
  <c r="G39" i="12"/>
  <c r="F39" i="12"/>
  <c r="E39" i="12"/>
  <c r="D39" i="12"/>
  <c r="I38" i="12"/>
  <c r="G38" i="12"/>
  <c r="F38" i="12"/>
  <c r="E38" i="12"/>
  <c r="D38" i="12"/>
  <c r="I37" i="12"/>
  <c r="G37" i="12"/>
  <c r="F37" i="12"/>
  <c r="E37" i="12"/>
  <c r="D37" i="12"/>
  <c r="I36" i="12"/>
  <c r="G36" i="12"/>
  <c r="F36" i="12"/>
  <c r="E36" i="12"/>
  <c r="D36" i="12"/>
  <c r="I35" i="12"/>
  <c r="G35" i="12"/>
  <c r="F35" i="12"/>
  <c r="E35" i="12"/>
  <c r="D35" i="12"/>
  <c r="I34" i="12"/>
  <c r="G34" i="12"/>
  <c r="F34" i="12"/>
  <c r="E34" i="12"/>
  <c r="D34" i="12"/>
  <c r="I33" i="12"/>
  <c r="G33" i="12"/>
  <c r="F33" i="12"/>
  <c r="E33" i="12"/>
  <c r="D33" i="12"/>
  <c r="I32" i="12"/>
  <c r="G32" i="12"/>
  <c r="F32" i="12"/>
  <c r="E32" i="12"/>
  <c r="D32" i="12"/>
  <c r="I31" i="12"/>
  <c r="G31" i="12"/>
  <c r="F31" i="12"/>
  <c r="E31" i="12"/>
  <c r="D31" i="12"/>
  <c r="I30" i="12"/>
  <c r="G30" i="12"/>
  <c r="F30" i="12"/>
  <c r="E30" i="12"/>
  <c r="D30" i="12"/>
  <c r="I29" i="12"/>
  <c r="G29" i="12"/>
  <c r="F29" i="12"/>
  <c r="E29" i="12"/>
  <c r="D29" i="12"/>
  <c r="I28" i="12"/>
  <c r="G28" i="12"/>
  <c r="F28" i="12"/>
  <c r="E28" i="12"/>
  <c r="D28" i="12"/>
  <c r="I27" i="12"/>
  <c r="G27" i="12"/>
  <c r="F27" i="12"/>
  <c r="E27" i="12"/>
  <c r="D27" i="12"/>
  <c r="I26" i="12"/>
  <c r="G26" i="12"/>
  <c r="F26" i="12"/>
  <c r="E26" i="12"/>
  <c r="D26" i="12"/>
  <c r="I25" i="12"/>
  <c r="G25" i="12"/>
  <c r="F25" i="12"/>
  <c r="E25" i="12"/>
  <c r="D25" i="12"/>
  <c r="I24" i="12"/>
  <c r="G24" i="12"/>
  <c r="F24" i="12"/>
  <c r="E24" i="12"/>
  <c r="D24" i="12"/>
  <c r="I23" i="12"/>
  <c r="G23" i="12"/>
  <c r="F23" i="12"/>
  <c r="E23" i="12"/>
  <c r="D23" i="12"/>
  <c r="I22" i="12"/>
  <c r="G22" i="12"/>
  <c r="F22" i="12"/>
  <c r="E22" i="12"/>
  <c r="D22" i="12"/>
  <c r="I21" i="12"/>
  <c r="G21" i="12"/>
  <c r="F21" i="12"/>
  <c r="E21" i="12"/>
  <c r="D21" i="12"/>
  <c r="I20" i="12"/>
  <c r="G20" i="12"/>
  <c r="F20" i="12"/>
  <c r="E20" i="12"/>
  <c r="D20" i="12"/>
  <c r="I19" i="12"/>
  <c r="G19" i="12"/>
  <c r="F19" i="12"/>
  <c r="E19" i="12"/>
  <c r="D19" i="12"/>
  <c r="I18" i="12"/>
  <c r="G18" i="12"/>
  <c r="F18" i="12"/>
  <c r="E18" i="12"/>
  <c r="D18" i="12"/>
  <c r="I17" i="12"/>
  <c r="G17" i="12"/>
  <c r="F17" i="12"/>
  <c r="E17" i="12"/>
  <c r="D17" i="12"/>
  <c r="I16" i="12"/>
  <c r="G16" i="12"/>
  <c r="F16" i="12"/>
  <c r="E16" i="12"/>
  <c r="D16" i="12"/>
  <c r="I15" i="12"/>
  <c r="G15" i="12"/>
  <c r="F15" i="12"/>
  <c r="E15" i="12"/>
  <c r="D15" i="12"/>
  <c r="I14" i="12"/>
  <c r="G14" i="12"/>
  <c r="F14" i="12"/>
  <c r="E14" i="12"/>
  <c r="D14" i="12"/>
  <c r="I13" i="12"/>
  <c r="G13" i="12"/>
  <c r="F13" i="12"/>
  <c r="E13" i="12"/>
  <c r="D13" i="12"/>
  <c r="I12" i="12"/>
  <c r="G12" i="12"/>
  <c r="F12" i="12"/>
  <c r="E12" i="12"/>
  <c r="D12" i="12"/>
  <c r="I11" i="12"/>
  <c r="G11" i="12"/>
  <c r="F11" i="12"/>
  <c r="E11" i="12"/>
  <c r="D11" i="12"/>
  <c r="I10" i="12"/>
  <c r="G10" i="12"/>
  <c r="F10" i="12"/>
  <c r="E10" i="12"/>
  <c r="D10" i="12"/>
  <c r="I9" i="12"/>
  <c r="G9" i="12"/>
  <c r="F9" i="12"/>
  <c r="E9" i="12"/>
  <c r="D9" i="12"/>
  <c r="I8" i="12"/>
  <c r="G8" i="12"/>
  <c r="F8" i="12"/>
  <c r="E8" i="12"/>
  <c r="D8" i="12"/>
  <c r="I7" i="12"/>
  <c r="G7" i="12"/>
  <c r="F7" i="12"/>
  <c r="E7" i="12"/>
  <c r="D7" i="12"/>
  <c r="I6" i="12"/>
  <c r="G6" i="12"/>
  <c r="F6" i="12"/>
  <c r="E6" i="12"/>
  <c r="D6" i="12"/>
  <c r="I5" i="12"/>
  <c r="G5" i="12"/>
  <c r="F5" i="12"/>
  <c r="E5" i="12"/>
  <c r="D5" i="12"/>
  <c r="I4" i="12"/>
  <c r="G4" i="12"/>
  <c r="F4" i="12"/>
  <c r="E4" i="12"/>
  <c r="D4" i="12"/>
  <c r="I3" i="12"/>
  <c r="G3" i="12"/>
  <c r="F3" i="12"/>
  <c r="E3" i="12"/>
  <c r="D3" i="12"/>
  <c r="I2" i="12"/>
  <c r="G2" i="12"/>
  <c r="F2" i="12"/>
  <c r="E2" i="12"/>
  <c r="D2" i="12"/>
  <c r="I55" i="10"/>
  <c r="G55" i="10"/>
  <c r="F55" i="10"/>
  <c r="E55" i="10"/>
  <c r="D55" i="10"/>
  <c r="I54" i="10"/>
  <c r="G54" i="10"/>
  <c r="F54" i="10"/>
  <c r="E54" i="10"/>
  <c r="D54" i="10"/>
  <c r="I53" i="10"/>
  <c r="G53" i="10"/>
  <c r="F53" i="10"/>
  <c r="E53" i="10"/>
  <c r="D53" i="10"/>
  <c r="I52" i="10"/>
  <c r="G52" i="10"/>
  <c r="F52" i="10"/>
  <c r="E52" i="10"/>
  <c r="D52" i="10"/>
  <c r="I51" i="10"/>
  <c r="G51" i="10"/>
  <c r="F51" i="10"/>
  <c r="E51" i="10"/>
  <c r="D51" i="10"/>
  <c r="I50" i="10"/>
  <c r="G50" i="10"/>
  <c r="F50" i="10"/>
  <c r="E50" i="10"/>
  <c r="D50" i="10"/>
  <c r="I49" i="10"/>
  <c r="G49" i="10"/>
  <c r="F49" i="10"/>
  <c r="E49" i="10"/>
  <c r="D49" i="10"/>
  <c r="I48" i="10"/>
  <c r="G48" i="10"/>
  <c r="F48" i="10"/>
  <c r="E48" i="10"/>
  <c r="D48" i="10"/>
  <c r="I47" i="10"/>
  <c r="G47" i="10"/>
  <c r="F47" i="10"/>
  <c r="E47" i="10"/>
  <c r="D47" i="10"/>
  <c r="I46" i="10"/>
  <c r="G46" i="10"/>
  <c r="F46" i="10"/>
  <c r="E46" i="10"/>
  <c r="D46" i="10"/>
  <c r="I45" i="10"/>
  <c r="G45" i="10"/>
  <c r="F45" i="10"/>
  <c r="E45" i="10"/>
  <c r="D45" i="10"/>
  <c r="I44" i="10"/>
  <c r="G44" i="10"/>
  <c r="F44" i="10"/>
  <c r="E44" i="10"/>
  <c r="D44" i="10"/>
  <c r="I43" i="10"/>
  <c r="G43" i="10"/>
  <c r="F43" i="10"/>
  <c r="E43" i="10"/>
  <c r="D43" i="10"/>
  <c r="I42" i="10"/>
  <c r="G42" i="10"/>
  <c r="F42" i="10"/>
  <c r="E42" i="10"/>
  <c r="D42" i="10"/>
  <c r="I41" i="10"/>
  <c r="G41" i="10"/>
  <c r="F41" i="10"/>
  <c r="E41" i="10"/>
  <c r="D41" i="10"/>
  <c r="I40" i="10"/>
  <c r="G40" i="10"/>
  <c r="F40" i="10"/>
  <c r="E40" i="10"/>
  <c r="D40" i="10"/>
  <c r="I39" i="10"/>
  <c r="G39" i="10"/>
  <c r="F39" i="10"/>
  <c r="E39" i="10"/>
  <c r="D39" i="10"/>
  <c r="I38" i="10"/>
  <c r="G38" i="10"/>
  <c r="F38" i="10"/>
  <c r="E38" i="10"/>
  <c r="D38" i="10"/>
  <c r="I37" i="10"/>
  <c r="G37" i="10"/>
  <c r="F37" i="10"/>
  <c r="E37" i="10"/>
  <c r="D37" i="10"/>
  <c r="I36" i="10"/>
  <c r="G36" i="10"/>
  <c r="F36" i="10"/>
  <c r="E36" i="10"/>
  <c r="D36" i="10"/>
  <c r="I35" i="10"/>
  <c r="G35" i="10"/>
  <c r="F35" i="10"/>
  <c r="E35" i="10"/>
  <c r="D35" i="10"/>
  <c r="I34" i="10"/>
  <c r="G34" i="10"/>
  <c r="F34" i="10"/>
  <c r="E34" i="10"/>
  <c r="D34" i="10"/>
  <c r="I33" i="10"/>
  <c r="G33" i="10"/>
  <c r="F33" i="10"/>
  <c r="E33" i="10"/>
  <c r="D33" i="10"/>
  <c r="I32" i="10"/>
  <c r="G32" i="10"/>
  <c r="F32" i="10"/>
  <c r="E32" i="10"/>
  <c r="D32" i="10"/>
  <c r="I31" i="10"/>
  <c r="G31" i="10"/>
  <c r="F31" i="10"/>
  <c r="E31" i="10"/>
  <c r="D31" i="10"/>
  <c r="I30" i="10"/>
  <c r="G30" i="10"/>
  <c r="F30" i="10"/>
  <c r="E30" i="10"/>
  <c r="D30" i="10"/>
  <c r="I29" i="10"/>
  <c r="G29" i="10"/>
  <c r="F29" i="10"/>
  <c r="E29" i="10"/>
  <c r="D29" i="10"/>
  <c r="I28" i="10"/>
  <c r="G28" i="10"/>
  <c r="F28" i="10"/>
  <c r="E28" i="10"/>
  <c r="D28" i="10"/>
  <c r="I27" i="10"/>
  <c r="G27" i="10"/>
  <c r="F27" i="10"/>
  <c r="E27" i="10"/>
  <c r="D27" i="10"/>
  <c r="I26" i="10"/>
  <c r="G26" i="10"/>
  <c r="F26" i="10"/>
  <c r="E26" i="10"/>
  <c r="D26" i="10"/>
  <c r="I25" i="10"/>
  <c r="G25" i="10"/>
  <c r="F25" i="10"/>
  <c r="E25" i="10"/>
  <c r="D25" i="10"/>
  <c r="I24" i="10"/>
  <c r="G24" i="10"/>
  <c r="F24" i="10"/>
  <c r="E24" i="10"/>
  <c r="D24" i="10"/>
  <c r="I23" i="10"/>
  <c r="G23" i="10"/>
  <c r="F23" i="10"/>
  <c r="E23" i="10"/>
  <c r="D23" i="10"/>
  <c r="I22" i="10"/>
  <c r="G22" i="10"/>
  <c r="F22" i="10"/>
  <c r="E22" i="10"/>
  <c r="D22" i="10"/>
  <c r="I21" i="10"/>
  <c r="G21" i="10"/>
  <c r="F21" i="10"/>
  <c r="E21" i="10"/>
  <c r="D21" i="10"/>
  <c r="I20" i="10"/>
  <c r="G20" i="10"/>
  <c r="F20" i="10"/>
  <c r="E20" i="10"/>
  <c r="D20" i="10"/>
  <c r="I19" i="10"/>
  <c r="G19" i="10"/>
  <c r="F19" i="10"/>
  <c r="E19" i="10"/>
  <c r="D19" i="10"/>
  <c r="I18" i="10"/>
  <c r="G18" i="10"/>
  <c r="F18" i="10"/>
  <c r="E18" i="10"/>
  <c r="D18" i="10"/>
  <c r="I17" i="10"/>
  <c r="G17" i="10"/>
  <c r="F17" i="10"/>
  <c r="E17" i="10"/>
  <c r="D17" i="10"/>
  <c r="I16" i="10"/>
  <c r="G16" i="10"/>
  <c r="F16" i="10"/>
  <c r="E16" i="10"/>
  <c r="D16" i="10"/>
  <c r="I15" i="10"/>
  <c r="G15" i="10"/>
  <c r="F15" i="10"/>
  <c r="E15" i="10"/>
  <c r="D15" i="10"/>
  <c r="I14" i="10"/>
  <c r="G14" i="10"/>
  <c r="F14" i="10"/>
  <c r="E14" i="10"/>
  <c r="D14" i="10"/>
  <c r="I13" i="10"/>
  <c r="G13" i="10"/>
  <c r="F13" i="10"/>
  <c r="E13" i="10"/>
  <c r="D13" i="10"/>
  <c r="I12" i="10"/>
  <c r="G12" i="10"/>
  <c r="F12" i="10"/>
  <c r="E12" i="10"/>
  <c r="D12" i="10"/>
  <c r="I11" i="10"/>
  <c r="G11" i="10"/>
  <c r="F11" i="10"/>
  <c r="E11" i="10"/>
  <c r="D11" i="10"/>
  <c r="I10" i="10"/>
  <c r="G10" i="10"/>
  <c r="F10" i="10"/>
  <c r="E10" i="10"/>
  <c r="D10" i="10"/>
  <c r="I9" i="10"/>
  <c r="G9" i="10"/>
  <c r="F9" i="10"/>
  <c r="E9" i="10"/>
  <c r="D9" i="10"/>
  <c r="I8" i="10"/>
  <c r="G8" i="10"/>
  <c r="F8" i="10"/>
  <c r="E8" i="10"/>
  <c r="D8" i="10"/>
  <c r="I7" i="10"/>
  <c r="G7" i="10"/>
  <c r="F7" i="10"/>
  <c r="E7" i="10"/>
  <c r="D7" i="10"/>
  <c r="I6" i="10"/>
  <c r="G6" i="10"/>
  <c r="F6" i="10"/>
  <c r="E6" i="10"/>
  <c r="D6" i="10"/>
  <c r="I5" i="10"/>
  <c r="G5" i="10"/>
  <c r="F5" i="10"/>
  <c r="E5" i="10"/>
  <c r="D5" i="10"/>
  <c r="I4" i="10"/>
  <c r="G4" i="10"/>
  <c r="F4" i="10"/>
  <c r="E4" i="10"/>
  <c r="D4" i="10"/>
  <c r="I3" i="10"/>
  <c r="G3" i="10"/>
  <c r="F3" i="10"/>
  <c r="E3" i="10"/>
  <c r="D3" i="10"/>
  <c r="I2" i="10"/>
  <c r="G2" i="10"/>
  <c r="F2" i="10"/>
  <c r="E2" i="10"/>
  <c r="D2" i="10"/>
  <c r="I55" i="8"/>
  <c r="G55" i="8"/>
  <c r="F55" i="8"/>
  <c r="E55" i="8"/>
  <c r="D55" i="8"/>
  <c r="I54" i="8"/>
  <c r="G54" i="8"/>
  <c r="F54" i="8"/>
  <c r="E54" i="8"/>
  <c r="D54" i="8"/>
  <c r="I53" i="8"/>
  <c r="G53" i="8"/>
  <c r="F53" i="8"/>
  <c r="E53" i="8"/>
  <c r="D53" i="8"/>
  <c r="I52" i="8"/>
  <c r="G52" i="8"/>
  <c r="F52" i="8"/>
  <c r="E52" i="8"/>
  <c r="D52" i="8"/>
  <c r="I51" i="8"/>
  <c r="G51" i="8"/>
  <c r="F51" i="8"/>
  <c r="E51" i="8"/>
  <c r="D51" i="8"/>
  <c r="I50" i="8"/>
  <c r="G50" i="8"/>
  <c r="F50" i="8"/>
  <c r="E50" i="8"/>
  <c r="D50" i="8"/>
  <c r="I49" i="8"/>
  <c r="G49" i="8"/>
  <c r="F49" i="8"/>
  <c r="E49" i="8"/>
  <c r="D49" i="8"/>
  <c r="I48" i="8"/>
  <c r="G48" i="8"/>
  <c r="F48" i="8"/>
  <c r="E48" i="8"/>
  <c r="D48" i="8"/>
  <c r="I47" i="8"/>
  <c r="G47" i="8"/>
  <c r="F47" i="8"/>
  <c r="E47" i="8"/>
  <c r="D47" i="8"/>
  <c r="I46" i="8"/>
  <c r="G46" i="8"/>
  <c r="F46" i="8"/>
  <c r="E46" i="8"/>
  <c r="D46" i="8"/>
  <c r="I45" i="8"/>
  <c r="G45" i="8"/>
  <c r="F45" i="8"/>
  <c r="E45" i="8"/>
  <c r="D45" i="8"/>
  <c r="I44" i="8"/>
  <c r="G44" i="8"/>
  <c r="F44" i="8"/>
  <c r="E44" i="8"/>
  <c r="D44" i="8"/>
  <c r="I43" i="8"/>
  <c r="G43" i="8"/>
  <c r="F43" i="8"/>
  <c r="E43" i="8"/>
  <c r="D43" i="8"/>
  <c r="I42" i="8"/>
  <c r="G42" i="8"/>
  <c r="F42" i="8"/>
  <c r="E42" i="8"/>
  <c r="D42" i="8"/>
  <c r="I41" i="8"/>
  <c r="G41" i="8"/>
  <c r="F41" i="8"/>
  <c r="E41" i="8"/>
  <c r="D41" i="8"/>
  <c r="I40" i="8"/>
  <c r="G40" i="8"/>
  <c r="F40" i="8"/>
  <c r="E40" i="8"/>
  <c r="D40" i="8"/>
  <c r="I39" i="8"/>
  <c r="G39" i="8"/>
  <c r="F39" i="8"/>
  <c r="E39" i="8"/>
  <c r="D39" i="8"/>
  <c r="I38" i="8"/>
  <c r="G38" i="8"/>
  <c r="F38" i="8"/>
  <c r="E38" i="8"/>
  <c r="D38" i="8"/>
  <c r="I37" i="8"/>
  <c r="G37" i="8"/>
  <c r="F37" i="8"/>
  <c r="E37" i="8"/>
  <c r="D37" i="8"/>
  <c r="I36" i="8"/>
  <c r="G36" i="8"/>
  <c r="F36" i="8"/>
  <c r="E36" i="8"/>
  <c r="D36" i="8"/>
  <c r="I35" i="8"/>
  <c r="G35" i="8"/>
  <c r="F35" i="8"/>
  <c r="E35" i="8"/>
  <c r="D35" i="8"/>
  <c r="I34" i="8"/>
  <c r="G34" i="8"/>
  <c r="F34" i="8"/>
  <c r="E34" i="8"/>
  <c r="D34" i="8"/>
  <c r="I33" i="8"/>
  <c r="G33" i="8"/>
  <c r="F33" i="8"/>
  <c r="E33" i="8"/>
  <c r="D33" i="8"/>
  <c r="I32" i="8"/>
  <c r="G32" i="8"/>
  <c r="F32" i="8"/>
  <c r="E32" i="8"/>
  <c r="D32" i="8"/>
  <c r="I31" i="8"/>
  <c r="G31" i="8"/>
  <c r="F31" i="8"/>
  <c r="E31" i="8"/>
  <c r="D31" i="8"/>
  <c r="I30" i="8"/>
  <c r="G30" i="8"/>
  <c r="F30" i="8"/>
  <c r="E30" i="8"/>
  <c r="D30" i="8"/>
  <c r="I29" i="8"/>
  <c r="G29" i="8"/>
  <c r="F29" i="8"/>
  <c r="E29" i="8"/>
  <c r="D29" i="8"/>
  <c r="I28" i="8"/>
  <c r="G28" i="8"/>
  <c r="F28" i="8"/>
  <c r="E28" i="8"/>
  <c r="D28" i="8"/>
  <c r="I27" i="8"/>
  <c r="G27" i="8"/>
  <c r="F27" i="8"/>
  <c r="E27" i="8"/>
  <c r="D27" i="8"/>
  <c r="I26" i="8"/>
  <c r="G26" i="8"/>
  <c r="F26" i="8"/>
  <c r="E26" i="8"/>
  <c r="D26" i="8"/>
  <c r="I25" i="8"/>
  <c r="G25" i="8"/>
  <c r="F25" i="8"/>
  <c r="E25" i="8"/>
  <c r="D25" i="8"/>
  <c r="I24" i="8"/>
  <c r="G24" i="8"/>
  <c r="F24" i="8"/>
  <c r="E24" i="8"/>
  <c r="D24" i="8"/>
  <c r="I23" i="8"/>
  <c r="G23" i="8"/>
  <c r="F23" i="8"/>
  <c r="E23" i="8"/>
  <c r="D23" i="8"/>
  <c r="I22" i="8"/>
  <c r="G22" i="8"/>
  <c r="F22" i="8"/>
  <c r="E22" i="8"/>
  <c r="D22" i="8"/>
  <c r="I21" i="8"/>
  <c r="G21" i="8"/>
  <c r="F21" i="8"/>
  <c r="E21" i="8"/>
  <c r="D21" i="8"/>
  <c r="I20" i="8"/>
  <c r="G20" i="8"/>
  <c r="F20" i="8"/>
  <c r="E20" i="8"/>
  <c r="D20" i="8"/>
  <c r="I19" i="8"/>
  <c r="G19" i="8"/>
  <c r="F19" i="8"/>
  <c r="E19" i="8"/>
  <c r="D19" i="8"/>
  <c r="I18" i="8"/>
  <c r="G18" i="8"/>
  <c r="F18" i="8"/>
  <c r="E18" i="8"/>
  <c r="D18" i="8"/>
  <c r="I17" i="8"/>
  <c r="G17" i="8"/>
  <c r="F17" i="8"/>
  <c r="E17" i="8"/>
  <c r="D17" i="8"/>
  <c r="I16" i="8"/>
  <c r="G16" i="8"/>
  <c r="F16" i="8"/>
  <c r="E16" i="8"/>
  <c r="D16" i="8"/>
  <c r="I15" i="8"/>
  <c r="G15" i="8"/>
  <c r="F15" i="8"/>
  <c r="E15" i="8"/>
  <c r="D15" i="8"/>
  <c r="I14" i="8"/>
  <c r="G14" i="8"/>
  <c r="F14" i="8"/>
  <c r="E14" i="8"/>
  <c r="D14" i="8"/>
  <c r="I13" i="8"/>
  <c r="G13" i="8"/>
  <c r="F13" i="8"/>
  <c r="E13" i="8"/>
  <c r="D13" i="8"/>
  <c r="I12" i="8"/>
  <c r="G12" i="8"/>
  <c r="F12" i="8"/>
  <c r="E12" i="8"/>
  <c r="D12" i="8"/>
  <c r="I11" i="8"/>
  <c r="G11" i="8"/>
  <c r="F11" i="8"/>
  <c r="E11" i="8"/>
  <c r="D11" i="8"/>
  <c r="I10" i="8"/>
  <c r="G10" i="8"/>
  <c r="F10" i="8"/>
  <c r="E10" i="8"/>
  <c r="D10" i="8"/>
  <c r="I9" i="8"/>
  <c r="G9" i="8"/>
  <c r="F9" i="8"/>
  <c r="E9" i="8"/>
  <c r="D9" i="8"/>
  <c r="I8" i="8"/>
  <c r="G8" i="8"/>
  <c r="F8" i="8"/>
  <c r="E8" i="8"/>
  <c r="D8" i="8"/>
  <c r="I7" i="8"/>
  <c r="G7" i="8"/>
  <c r="F7" i="8"/>
  <c r="E7" i="8"/>
  <c r="D7" i="8"/>
  <c r="I6" i="8"/>
  <c r="G6" i="8"/>
  <c r="F6" i="8"/>
  <c r="E6" i="8"/>
  <c r="D6" i="8"/>
  <c r="I5" i="8"/>
  <c r="G5" i="8"/>
  <c r="F5" i="8"/>
  <c r="E5" i="8"/>
  <c r="D5" i="8"/>
  <c r="I4" i="8"/>
  <c r="G4" i="8"/>
  <c r="F4" i="8"/>
  <c r="E4" i="8"/>
  <c r="D4" i="8"/>
  <c r="I3" i="8"/>
  <c r="G3" i="8"/>
  <c r="F3" i="8"/>
  <c r="E3" i="8"/>
  <c r="D3" i="8"/>
  <c r="I2" i="8"/>
  <c r="G2" i="8"/>
  <c r="F2" i="8"/>
  <c r="E2" i="8"/>
  <c r="D2" i="8"/>
</calcChain>
</file>

<file path=xl/sharedStrings.xml><?xml version="1.0" encoding="utf-8"?>
<sst xmlns="http://schemas.openxmlformats.org/spreadsheetml/2006/main" count="1197" uniqueCount="315">
  <si>
    <t>course_number</t>
  </si>
  <si>
    <t>credits</t>
  </si>
  <si>
    <t>title</t>
  </si>
  <si>
    <t>description</t>
  </si>
  <si>
    <t>vector</t>
  </si>
  <si>
    <t>notes</t>
  </si>
  <si>
    <t>S200</t>
  </si>
  <si>
    <t>3</t>
  </si>
  <si>
    <t>Elementary Statistics for Applications</t>
  </si>
  <si>
    <t>Classical, nonparametric, and robust inferences about means, variances, and analysis of variance, using computers. Emphasis on problem formulation, assumptions, and interpretation.</t>
  </si>
  <si>
    <t>[3-1-0]</t>
  </si>
  <si>
    <t>Credit excluded with STAT_V 203, BIOL_V 300, BUSI_V 291, COMM_V 191, 291, ECON_V 325, 327, EPSE_V 482, FRST_V 231, GEOG_V 374, KIN_V 206, 371, LFS_V 252, POLI_V 380, PSYC_V 218, 278, SOCI_V 328</t>
  </si>
  <si>
    <t>S201</t>
  </si>
  <si>
    <t>Statistical Inference for Data Science</t>
  </si>
  <si>
    <t>Classical and simulation-based techniques for estimation and hypothesis testing, including inference for means and proportions. Emphasis on case studies and real data sets, as well as reproducible and transparent workflows when writing computer scripts for analysis and reports.</t>
  </si>
  <si>
    <t>[3-0-1]</t>
  </si>
  <si>
    <t>S203</t>
  </si>
  <si>
    <t>S251</t>
  </si>
  <si>
    <t>Elementary Statistics</t>
  </si>
  <si>
    <t xml:space="preserve">Probability, discrete and continuous random variables, joint probability distributions, estimation, hypothesis testing, regression, analysis of variance, goodness of fit. </t>
  </si>
  <si>
    <t>Credit excluded with ECON_V 325, 327, PSYC_V 366, COMM_V 290</t>
  </si>
  <si>
    <t>S300</t>
  </si>
  <si>
    <t>Intermediate Statistics for Applications</t>
  </si>
  <si>
    <t xml:space="preserve">Further topics in statistical inference, including parametric and non-parametric methods, goodness-of-fit methods, analysis of variance and covariance, regression analysis, categorical data analysis, experimental designs, time series, model fitting, and statistical computing. </t>
  </si>
  <si>
    <t>Credit excluded with COMM_V 411</t>
  </si>
  <si>
    <t>S301</t>
  </si>
  <si>
    <t>Statistical Modelling for Data Science</t>
  </si>
  <si>
    <t xml:space="preserve">Data analysis using statistical models and algorithms (e.g., linear and logistic regression, peeking, bandit, and variable selection algorithms) in case studies from different disciplines. Generative versus out-of-sample predictive models. Reproducible and transparent workflows for computer scripts and reports. </t>
  </si>
  <si>
    <t>S302</t>
  </si>
  <si>
    <t>Introduction to Probability</t>
  </si>
  <si>
    <t xml:space="preserve">Basic notions of probability, random variables, expectation and conditional expectation, limit theorems. </t>
  </si>
  <si>
    <t>[3-0-0]</t>
  </si>
  <si>
    <t>Credit excluded with MATH_V 302, 318</t>
  </si>
  <si>
    <t>S305</t>
  </si>
  <si>
    <t>S306</t>
  </si>
  <si>
    <t>Finding Relationships in Data</t>
  </si>
  <si>
    <t xml:space="preserve">Modelling a response (output) variable as a function of several explanatory (input) variables: multiple regression for a continuous response, logistic regression for a binary response, and log-linear models for count data. Finding low-dimensional structure: principal components analysis. Cluster analysis. </t>
  </si>
  <si>
    <t>Credit excluded with ECON_V 326, 328</t>
  </si>
  <si>
    <t>S307</t>
  </si>
  <si>
    <t>S308</t>
  </si>
  <si>
    <t>S321</t>
  </si>
  <si>
    <t>S335</t>
  </si>
  <si>
    <t>S344</t>
  </si>
  <si>
    <t>S404</t>
  </si>
  <si>
    <t>S405</t>
  </si>
  <si>
    <t>S406</t>
  </si>
  <si>
    <t>Methods for Statistical Learning</t>
  </si>
  <si>
    <t xml:space="preserve">Flexible, data-adaptive methods for regression and classification models; regression smoothers; penalty methods; assessing accuracy of prediction; model selection; robustness; classification and regression trees; nearest-neighbour methods; neural networks; model averaging and ensembles; computational time and visualization for large data sets. </t>
  </si>
  <si>
    <t>S443</t>
  </si>
  <si>
    <t>S445</t>
  </si>
  <si>
    <t>S447</t>
  </si>
  <si>
    <t>S449</t>
  </si>
  <si>
    <t>S450</t>
  </si>
  <si>
    <t>S460</t>
  </si>
  <si>
    <t>S461</t>
  </si>
  <si>
    <t>M100</t>
  </si>
  <si>
    <t>Differential Calculus with Applications</t>
  </si>
  <si>
    <t>Derivatives of elementary functions. Applications and modelling: graphing, optimization.</t>
  </si>
  <si>
    <t>Credit Exclusion List: https://vancouver.calendar.ubc.ca/faculties-colleges-and-schools/faculty-science/bachelor-science/credit-exclusion-lists</t>
  </si>
  <si>
    <t>M101</t>
  </si>
  <si>
    <t>Integral Calculus with Applications</t>
  </si>
  <si>
    <t>The definite integral, integration techniques, applications, modelling, infinite series.</t>
  </si>
  <si>
    <t>Equivalency: MATH_V 103, 105.</t>
  </si>
  <si>
    <t>M200</t>
  </si>
  <si>
    <t>Calculus III</t>
  </si>
  <si>
    <t>Analytic geometry in 2 and 3 dimensions, partial and directional derivatives, chain rule, maxima and minima, second derivative test, Lagrange multipliers, multiple integrals with applications.</t>
  </si>
  <si>
    <t>Please consult the Faculty of Science Credit Exclusion List: https://vancouver.calendar.ubc.ca/faculties-colleges-and-schools/faculty-science/bachelor-science/credit-exclusion-lists</t>
  </si>
  <si>
    <t>M221</t>
  </si>
  <si>
    <t>Matrix Algebra</t>
  </si>
  <si>
    <t>Systems of linear equations, operations on matrices, determinants, eigenvalues and eigenvectors, diagonalization of symmetric matrices. </t>
  </si>
  <si>
    <t>This course is intended for first and second year students. Please consult the Faculty of Science Credit Exclusion List: https://vancouver.calendar.ubc.ca/faculties-colleges-and-schools/faculty-science/bachelor-science/credit-exclusion-lists. Equivalency: MATH_V 111</t>
  </si>
  <si>
    <t>M320</t>
  </si>
  <si>
    <t>D100</t>
  </si>
  <si>
    <t>Introduction to Data Science</t>
  </si>
  <si>
    <t>Use of data science tools to summarize, visualize, and analyze data. Sensible workflows and clear interpretations are emphasized.</t>
  </si>
  <si>
    <t>D200</t>
  </si>
  <si>
    <t>Navigating Data: Acquisition, Exploration and Management</t>
  </si>
  <si>
    <t>Acquiring data through web scraping and generating synthetic data via simulations. Sampling and experimental designs. Reporting and visualizing data and data quality. Data privacy and ownership. Emphasis on case studies and real data sets.</t>
  </si>
  <si>
    <t>requisite_id</t>
  </si>
  <si>
    <t>type</t>
  </si>
  <si>
    <t>pre</t>
  </si>
  <si>
    <t>One of any course on the MATH 100 credit exclusion list [https://vancouver.calendar.ubc.ca/faculties-colleges-and-schools/facult…], MATH 190, SCIE 001</t>
  </si>
  <si>
    <t>DSCI 100</t>
  </si>
  <si>
    <t>One of MATH 101, MATH 103, MATH 105, MATH 121, SCIE 001</t>
  </si>
  <si>
    <t>One of STAT 200, STAT 203,  STAT 251, BIOL 300, BUSI 291, COMM 191, COMM 291, ECON 325, ECON 327, FRST 231, KIN 206, LFS 252, POLI 380, PSYC 218, PSYC 278</t>
  </si>
  <si>
    <t>STAT 201</t>
  </si>
  <si>
    <t>One of MATH 100, MATH 102, MATH 104, MATH 110, MATH 120, MATH 180, MATH 184, SCIE 001</t>
  </si>
  <si>
    <t>One of MATH 200, MATH 226, MATH 217, MATH 253, MATH 254</t>
  </si>
  <si>
    <t>One of MATH 152, MATH 221, MATH 223</t>
  </si>
  <si>
    <t>One of STAT 200,  STAT 251, STAT 300, BIOL 300, BUSI 291, COMM 191, COMM 291, ECON 325, ECON 327, FRST 231, PSYC 218, PSYC 278</t>
  </si>
  <si>
    <t>One of STAT 302, MATH 302</t>
  </si>
  <si>
    <t>co</t>
  </si>
  <si>
    <t>a) One of STAT 306, CPSC 340, or b) STAT 301 and one of MATH 152, MATH 221, MATH 223 and one of STAT 302, MATH 302</t>
  </si>
  <si>
    <t>A score of 80% or higher in BC Pre-calculus 12. High school calculus is strongly recommended.</t>
  </si>
  <si>
    <t>One of MATH 100, MATH 102, MATH 104, MATH 110, MATH 120, MATH 180, MATH 184.</t>
  </si>
  <si>
    <t>One of MATH 101, MATH 103, MATH 105, MATH 121, SCIE 001.</t>
  </si>
  <si>
    <t>Either (a) one of MATH 100, MATH 102, MATH 104, MATH 110, MATH 120, MATH 180, MATH 184, SCIE 001 or (b) advanced credit for MATH 100, or (c) SCIE 001 as a corequisite.</t>
  </si>
  <si>
    <t>MATH 12</t>
  </si>
  <si>
    <t>›</t>
  </si>
  <si>
    <t>requisite_number</t>
  </si>
  <si>
    <t>is_primary</t>
  </si>
  <si>
    <t>exclusion_id</t>
  </si>
  <si>
    <t>STAT_V 200, STAT_V 203, BIOL_V 300, BUSI_V 291, COMM_V 191, COMM_V 291, ECON_V 325, ECON_V 327, EPSE_V 482, FRST_V 231, GEOG_V 374, KIN_V 206, KIN_V 371, LFS_V 252, POLI_V 380, PSYC_V 218, PSYC_V 278, SOCI_V 328</t>
  </si>
  <si>
    <t>STAT_V 251, ECON_V 325, ECON_V 327, PSYC_V 366, COMM_V 290</t>
  </si>
  <si>
    <t>STAT_V 300, COMM_V 411</t>
  </si>
  <si>
    <t>STAT_V 302, MATH_V 302, MATH_V 318</t>
  </si>
  <si>
    <t>STAT_V 306, ECON_V 326, ECON_V 328</t>
  </si>
  <si>
    <t>STAT_V 321, ELEC_V 321</t>
  </si>
  <si>
    <t>STAT_V 335, WOOD_V 335</t>
  </si>
  <si>
    <t>STAT_V 404, FRST_V 430, PSYC_V 359</t>
  </si>
  <si>
    <t>program_id</t>
  </si>
  <si>
    <t>name</t>
  </si>
  <si>
    <t>requirements_html</t>
  </si>
  <si>
    <t>All Courses</t>
  </si>
  <si>
    <t>&lt;h3&gt;Course Information&lt;/h3&gt;
&lt;p&gt;The course map presents all STAT, MATH, and DSCI courses along with prerequisite/corequisite connections. Hover over a course to view the course description, a complete list of prerequisites/corequisites, credit exclusions and notes. Select programs and streams in the menu above.&lt;/p&gt;
&lt;p&gt;The course map was created by &lt;a href='https://patrickwalls.github.io/'&gt;Patrick Walls&lt;/a&gt; with contributions from &lt;a href='https://github.com/zzzzzyzzzzz'&gt;Karen Zhou&lt;/a&gt; and &lt;a href='https://github.com/LeoLee5566'&gt;Wuyang Li&lt;/a&gt;.&lt;/p&gt;
&lt;p&gt;&lt;a rel='license' href='http://creativecommons.org/licenses/by-nc-sa/4.0/'&gt;&lt;img alt='Creative Commons Licence' style='border-width:0' src='https://i.creativecommons.org/l/by-nc-sa/4.0/88x31.png' /&gt;&lt;/a&gt;&lt;br /&gt;This work is licensed under a &lt;a rel='license' href='http://creativecommons.org/licenses/by-nc-sa/4.0/'&gt;Creative Commons Attribution-NonCommercial-ShareAlike 4.0 International License&lt;/a&gt;.&lt;/p&gt;</t>
  </si>
  <si>
    <t>Major in Statistics</t>
  </si>
  <si>
    <t>&lt;h3&gt;Major in Statistics - Degree Requirements&lt;/h3&gt;
&lt;figure class="responsive-figure-table"&gt;&lt;table&gt;&lt;tbody&gt;&lt;tr&gt;&lt;td&gt;&lt;strong&gt;First Year&lt;/strong&gt;&lt;/td&gt;&lt;td&gt;&amp;nbsp;&lt;/td&gt;&lt;/tr&gt;&lt;tr&gt;&lt;td&gt;SCIE_V 113&lt;/td&gt;&lt;td&gt;3&lt;/td&gt;&lt;/tr&gt;&lt;tr&gt;&lt;td&gt;Additional Communication Requirement&lt;sup&gt;1&lt;/sup&gt;&lt;/td&gt;&lt;td&gt;3&lt;/td&gt;&lt;/tr&gt;&lt;tr&gt;&lt;td&gt;CPSC_V 110 (or 103 and 107)&lt;sup&gt;2&lt;/sup&gt;&lt;/td&gt;&lt;td&gt;4&lt;/td&gt;&lt;/tr&gt;&lt;tr&gt;&lt;td&gt;DSCI_V 100&lt;/td&gt;&lt;td&gt;3&lt;/td&gt;&lt;/tr&gt;&lt;tr&gt;&lt;td&gt;MATH_V 100 or 102 or 104 (or 120 or 180 or 184)&lt;sup&gt;3&lt;/sup&gt;&lt;/td&gt;&lt;td&gt;3&lt;/td&gt;&lt;/tr&gt;&lt;tr&gt;&lt;td&gt;MATH_V 101 or 103 or 105 (or 121)&lt;sup&gt;4&lt;/sup&gt;&lt;/td&gt;&lt;td&gt;3&lt;/td&gt;&lt;/tr&gt;&lt;tr&gt;&lt;td&gt;Electives&lt;sup&gt;5&lt;/sup&gt;&lt;/td&gt;&lt;td&gt;11&lt;/td&gt;&lt;/tr&gt;&lt;tr&gt;&lt;td&gt;Total Credits&lt;/td&gt;&lt;td&gt;30&lt;/td&gt;&lt;/tr&gt;&lt;tr&gt;&lt;td&gt;&amp;nbsp;&lt;/td&gt;&lt;td&gt;&amp;nbsp;&lt;/td&gt;&lt;/tr&gt;&lt;tr&gt;&lt;td&gt;&lt;strong&gt;Second Year&lt;/strong&gt;&lt;/td&gt;&lt;td&gt;&amp;nbsp;&lt;/td&gt;&lt;/tr&gt;&lt;tr&gt;&lt;td&gt;CPSC_V 210 or MATH_V 210&lt;sup&gt;6&lt;/sup&gt;&lt;/td&gt;&lt;td&gt;4&lt;/td&gt;&lt;/tr&gt;&lt;tr&gt;&lt;td&gt;MATH_V 200, 220, 221&lt;/td&gt;&lt;td&gt;9&lt;/td&gt;&lt;/tr&gt;&lt;tr&gt;&lt;td&gt;STAT_V 200&lt;/td&gt;&lt;td&gt;3&lt;/td&gt;&lt;/tr&gt;&lt;tr&gt;&lt;td&gt;STAT_V 201&lt;/td&gt;&lt;td&gt;3&lt;/td&gt;&lt;/tr&gt;&lt;tr&gt;&lt;td&gt;STAT_V/MATH_V 302&lt;/td&gt;&lt;td&gt;3&lt;/td&gt;&lt;/tr&gt;&lt;tr&gt;&lt;td&gt;Electives&lt;sup&gt;5&lt;/sup&gt;&lt;/td&gt;&lt;td&gt;8&lt;/td&gt;&lt;/tr&gt;&lt;tr&gt;&lt;td&gt;Total Credits&lt;/td&gt;&lt;td&gt;30&lt;/td&gt;&lt;/tr&gt;&lt;tr&gt;&lt;td&gt;&amp;nbsp;&lt;/td&gt;&lt;td&gt;&amp;nbsp;&lt;/td&gt;&lt;/tr&gt;&lt;tr&gt;&lt;td&gt;&lt;strong&gt;Third and Fourth Years&lt;/strong&gt;&lt;/td&gt;&lt;td&gt;&amp;nbsp;&lt;/td&gt;&lt;/tr&gt;&lt;tr&gt;&lt;td&gt;In third year: STAT_V 301, 305, 306 and MATH_V 307&lt;/td&gt;&lt;td&gt;12&lt;/td&gt;&lt;/tr&gt;&lt;tr&gt;&lt;td&gt;In fourth year: STAT_V 404&lt;/td&gt;&lt;td&gt;3&lt;/td&gt;&lt;/tr&gt;&lt;tr&gt;&lt;td&gt;MATH_V 303&lt;/td&gt;&lt;td&gt;3&lt;/td&gt;&lt;/tr&gt;&lt;tr&gt;&lt;td&gt;STAT_V courses numbered 300 or above&lt;/td&gt;&lt;td&gt;6&lt;/td&gt;&lt;/tr&gt;&lt;tr&gt;&lt;td&gt;STAT_V courses numbered 400 or above&lt;/td&gt;&lt;td&gt;6&lt;/td&gt;&lt;/tr&gt;&lt;tr&gt;&lt;td&gt;MATH_V courses numbered 300 or above&lt;/td&gt;&lt;td&gt;3&lt;/td&gt;&lt;/tr&gt;&lt;tr&gt;&lt;td&gt;Thematic concentration courses numbered 300 or above&lt;sup&gt;7&lt;/sup&gt;&lt;/td&gt;&lt;td&gt;9&lt;/td&gt;&lt;/tr&gt;&lt;tr&gt;&lt;td&gt;Electives&lt;sup&gt;5&lt;/sup&gt;&lt;/td&gt;&lt;td&gt;18&lt;/td&gt;&lt;/tr&gt;&lt;tr&gt;&lt;td&gt;Total Credits&lt;/td&gt;&lt;td&gt;60&lt;/td&gt;&lt;/tr&gt;&lt;tr&gt;&lt;td&gt;&lt;em&gt;Total Credits for Degree&lt;/em&gt;&lt;/td&gt;&lt;td&gt;120&lt;/td&gt;&lt;/tr&gt;&lt;tr&gt;&lt;td colspan="2"&gt;&lt;sup&gt;1&lt;/sup&gt; For a full list of acceptable courses see &lt;a href="/node/15384" rel="nofollow"&gt;Communication Requirements&lt;/a&gt;.&lt;/td&gt;&lt;/tr&gt;&lt;tr&gt;&lt;td colspan="2"&gt;&lt;sup&gt;2&lt;/sup&gt; A 6-credit combination of two courses may substitute for a 4-credit course to satisfy the specified requirement by decreasing the electives in any year by 2 credits.&lt;/td&gt;&lt;/tr&gt;&lt;tr&gt;&lt;td colspan="2"&gt;&lt;sup&gt;3&lt;/sup&gt; MATH_V 180 or 184 or 120 may substitute for any of the specified differential calculus courses listed and elective credits reduced by 1. MATH_V 110 may substitute for any of the specified differential calculus courses listed and the elective credits decreased by 3.&lt;/td&gt;&lt;/tr&gt;&lt;tr&gt;&lt;td colspan="2"&gt;&lt;sup&gt;4&lt;/sup&gt; MATH_V 121 may substitute for any of the specified integral calculus courses listed and the elective credits decreased by 1.&lt;/td&gt;&lt;/tr&gt;&lt;tr&gt;&lt;td colspan="2"&gt;&lt;sup&gt;5&lt;/sup&gt; Elective credits together with required courses must fulfill the Faculty of Science's:&lt;br&gt;a) &lt;a href="/node/15386" rel="nofollow"&gt;Foundational Requirement&lt;/a&gt;;&lt;br&gt;b) &lt;a href="/node/15386#18467" rel="nofollow"&gt;Laboratory Science Requirement&lt;/a&gt;;&lt;br&gt;c) &lt;a href="/node/15398" rel="nofollow"&gt;Science Breadth Requirement&lt;/a&gt;;&lt;br&gt;d) &lt;a href="/node/15385" rel="nofollow"&gt;Science and Arts Requirements&lt;/a&gt;;&lt;br&gt;e) &lt;a href="/node/15387" rel="nofollow"&gt;Upper-level Requirement&lt;/a&gt;;&lt;br&gt;f) &lt;a href="/node/15405" rel="nofollow"&gt;General Degree Requirements&lt;/a&gt;.&lt;/td&gt;&lt;/tr&gt;&lt;tr&gt;&lt;td colspan="2"&gt;&lt;sup&gt;6&lt;/sup&gt; Note that MATH_V 210 may not be offered every year. Students taking MATH_V 210 require an additional credit toward elective requirements.&lt;/td&gt;&lt;/tr&gt;&lt;tr&gt;&lt;td colspan="2"&gt;&lt;sup&gt;7&lt;/sup&gt; More information about the thematic concentration, including some examples of course choices, can be found at Statistics (&lt;a href="http://www.stat.ubc.ca"&gt;www.stat.ubc.ca&lt;/a&gt;).&lt;/td&gt;&lt;/tr&gt;&lt;/tbody&gt;&lt;/table&gt;&lt;/figure&gt;</t>
  </si>
  <si>
    <t>Honours in Statistics</t>
  </si>
  <si>
    <t>&lt;h3&gt;Honours in Statistics - Degree Requirements&lt;/h3&gt;
&lt;figure class="responsive-figure-table"&gt;&lt;table&gt;&lt;tbody&gt;&lt;tr&gt;&lt;td&gt;&lt;strong&gt;First Year&lt;/strong&gt;&lt;/td&gt;&lt;td&gt;&amp;nbsp;&lt;/td&gt;&lt;/tr&gt;&lt;tr&gt;&lt;td&gt;SCIE_V 113&lt;/td&gt;&lt;td&gt;3&lt;/td&gt;&lt;/tr&gt;&lt;tr&gt;&lt;td&gt;Additional Communication Requirement&lt;sup&gt;1&lt;/sup&gt;&lt;/td&gt;&lt;td&gt;3&lt;/td&gt;&lt;/tr&gt;&lt;tr&gt;&lt;td&gt;CPSC_V 110 (or 103 and 107)&lt;sup&gt;2&lt;/sup&gt;&lt;/td&gt;&lt;td&gt;4&lt;/td&gt;&lt;/tr&gt;&lt;tr&gt;&lt;td&gt;DSCI_V 100&lt;/td&gt;&lt;td&gt;3&lt;/td&gt;&lt;/tr&gt;&lt;tr&gt;&lt;td&gt;MATH_V 120 or 180 or 184 (or 100 or 102 or 104)&lt;sup&gt;3&lt;/sup&gt;&lt;/td&gt;&lt;td&gt;4&lt;/td&gt;&lt;/tr&gt;&lt;tr&gt;&lt;td&gt;MATH_V 101 or 103 or 105 (or 121)&lt;sup&gt;4&lt;/sup&gt;&lt;/td&gt;&lt;td&gt;3&lt;/td&gt;&lt;/tr&gt;&lt;tr&gt;&lt;td&gt;Electives&lt;sup&gt;5&lt;/sup&gt;&lt;/td&gt;&lt;td&gt;10&lt;/td&gt;&lt;/tr&gt;&lt;tr&gt;&lt;td&gt;Total Credits&lt;/td&gt;&lt;td&gt;30&lt;/td&gt;&lt;/tr&gt;&lt;tr&gt;&lt;td&gt;&amp;nbsp;&lt;/td&gt;&lt;td&gt;&amp;nbsp;&lt;/td&gt;&lt;/tr&gt;&lt;tr&gt;&lt;td&gt;&lt;strong&gt;Second Year&lt;/strong&gt;&lt;/td&gt;&lt;td&gt;&amp;nbsp;&lt;/td&gt;&lt;/tr&gt;&lt;tr&gt;&lt;td&gt;CPSC_V 210 or MATH_V 210&lt;sup&gt;6&lt;/sup&gt;&lt;/td&gt;&lt;td&gt;4&lt;/td&gt;&lt;/tr&gt;&lt;tr&gt;&lt;td&gt;MATH_V 226&lt;sup&gt;7&lt;/sup&gt; or 200&lt;/td&gt;&lt;td&gt;3&lt;/td&gt;&lt;/tr&gt;&lt;tr&gt;&lt;td&gt;MATH_V 220&lt;sup&gt;7&lt;/sup&gt;&lt;/td&gt;&lt;td&gt;3&lt;/td&gt;&lt;/tr&gt;&lt;tr&gt;&lt;td&gt;MATH_V 223 or 221&lt;/td&gt;&lt;td&gt;3&lt;/td&gt;&lt;/tr&gt;&lt;tr&gt;&lt;td&gt;MATH_V 227 or 317&lt;/td&gt;&lt;td&gt;3&lt;/td&gt;&lt;/tr&gt;&lt;tr&gt;&lt;td&gt;STAT_V 200&lt;/td&gt;&lt;td&gt;3&lt;/td&gt;&lt;/tr&gt;&lt;tr&gt;&lt;td&gt;STAT_V 201&lt;/td&gt;&lt;td&gt;3&lt;/td&gt;&lt;/tr&gt;&lt;tr&gt;&lt;td&gt;STAT_V/MATH_V 302&lt;/td&gt;&lt;td&gt;3&lt;/td&gt;&lt;/tr&gt;&lt;tr&gt;&lt;td&gt;Electives&lt;sup&gt;5&lt;/sup&gt;&lt;/td&gt;&lt;td&gt;8&lt;/td&gt;&lt;/tr&gt;&lt;tr&gt;&lt;td&gt;Total Credits&lt;/td&gt;&lt;td&gt;33&lt;/td&gt;&lt;/tr&gt;&lt;tr&gt;&lt;td&gt;&amp;nbsp;&lt;/td&gt;&lt;td&gt;&amp;nbsp;&lt;/td&gt;&lt;/tr&gt;&lt;tr&gt;&lt;td&gt;&lt;strong&gt;Third and Fourth Years&lt;/strong&gt;&lt;/td&gt;&lt;td&gt;&amp;nbsp;&lt;/td&gt;&lt;/tr&gt;&lt;tr&gt;&lt;td&gt;In third year: STAT_V 305, 306 and MATH_V 303&lt;sup&gt;8&lt;/sup&gt;, 307, 320, 321&lt;/td&gt;&lt;td&gt;18&lt;/td&gt;&lt;/tr&gt;&lt;tr&gt;&lt;td&gt;In fourth year: STAT_V 404, 460 and 461 and 6 credits chosen from MATH_V 418, 419, 420, 421 and statistics courses numbered 400 or above&lt;/td&gt;&lt;td&gt;15&lt;/td&gt;&lt;/tr&gt;&lt;tr&gt;&lt;td&gt;STAT_V courses numbered 300 or above&lt;/td&gt;&lt;td&gt;3&lt;/td&gt;&lt;/tr&gt;&lt;tr&gt;&lt;td&gt;STAT_V courses numbered 400 or above&lt;/td&gt;&lt;td&gt;6&lt;/td&gt;&lt;/tr&gt;&lt;tr&gt;&lt;td&gt;Additional CPSC_V, DSCI_V, and MATH_V courses numbered 300 or above&lt;/td&gt;&lt;td&gt;6&lt;/td&gt;&lt;/tr&gt;&lt;tr&gt;&lt;td&gt;Electives&lt;sup&gt;5&lt;/sup&gt;&lt;/td&gt;&lt;td&gt;21&lt;/td&gt;&lt;/tr&gt;&lt;tr&gt;&lt;td&gt;Total Credits&lt;/td&gt;&lt;td&gt;69&lt;/td&gt;&lt;/tr&gt;&lt;tr&gt;&lt;td&gt;&lt;em&gt;Total Credits for Degree&lt;/em&gt;&lt;/td&gt;&lt;td&gt;132&lt;/td&gt;&lt;/tr&gt;&lt;tr&gt;&lt;td colspan="2"&gt;&lt;sup&gt;1&lt;/sup&gt; For a full list of acceptable courses, see &lt;a href="/node/15384" rel="nofollow"&gt;Communication Requirements&lt;/a&gt;.&lt;/td&gt;&lt;/tr&gt;&lt;tr&gt;&lt;td colspan="2"&gt;&lt;sup&gt;2&lt;/sup&gt; A 6-credit combination of two courses may substitute for a 4-credit course to satisfy the specified requirement by decreasing the electives in any year by 2 credits.&lt;/td&gt;&lt;/tr&gt;&lt;tr&gt;&lt;td colspan="2"&gt;&lt;sup&gt;3&lt;/sup&gt; MATH_V 100 or 102 or 104 may substitute for any of the specified differential calculus courses listed and elective credits increased by 1. MATH_V 110 may substitute for any of the specified differential calculus courses listed and the elective credits reduced by 2.&lt;/td&gt;&lt;/tr&gt;&lt;tr&gt;&lt;td colspan="2"&gt;&lt;sup&gt;4&lt;/sup&gt; MATH_V 121 may substitute for any of the specified integral calculus courses listed and the elective credits decreased by 1.&lt;/td&gt;&lt;/tr&gt;&lt;tr&gt;&lt;td colspan="2"&gt;&lt;sup&gt;5&lt;/sup&gt; Elective credits together with required courses must fulfill the Faculty of Science's:&lt;br&gt;a) &lt;a href="/node/15386" rel="nofollow"&gt;Foundational Requirement&lt;/a&gt;;&lt;br&gt;b) &lt;a href="/node/15386#18467" rel="nofollow"&gt;Laboratory Science Requirement&lt;/a&gt;;&lt;br&gt;c) &lt;a href="/node/15398" rel="nofollow"&gt;Science Breadth Requirement&lt;/a&gt;;&lt;br&gt;d) &lt;a href="/node/15385" rel="nofollow"&gt;Science and Arts Requirements&lt;/a&gt;;&lt;br&gt;e) &lt;a href="/node/15387" rel="nofollow"&gt;Upper-level Requirement&lt;/a&gt;;&lt;br&gt;f) &lt;a href="/node/15405" rel="nofollow"&gt;General Degree Requirements&lt;/a&gt;.&lt;/td&gt;&lt;/tr&gt;&lt;tr&gt;&lt;td colspan="2"&gt;&lt;sup&gt;6&lt;/sup&gt; Note that MATH_V 210 may not be offered every year. Students taking MATH_V 210 require an additional credit toward elective requirements.&lt;/td&gt;&lt;/tr&gt;&lt;tr&gt;&lt;td colspan="2"&gt;&lt;sup&gt;7&lt;/sup&gt; Students obtaining 68% or higher in MATH_V 226 are not required to take MATH_V 220.&lt;/td&gt;&lt;/tr&gt;&lt;tr&gt;&lt;td colspan="2"&gt;&lt;sup&gt;8&lt;/sup&gt; May be replaced by MATH_V 419 in fourth year.&lt;/td&gt;&lt;/tr&gt;&lt;/tbody&gt;&lt;/table&gt;&lt;/figure&gt;</t>
  </si>
  <si>
    <t>Minor in Statistics</t>
  </si>
  <si>
    <t>&lt;h3&gt;Minor in Statistics - Requirements&lt;/h3&gt;
&lt;p&gt;Students majoring in another area can minor in Statistics by completing 18 upper level STAT credits (MATH 302 can replace STAT 302).&lt;/p&gt;</t>
  </si>
  <si>
    <t>r</t>
  </si>
  <si>
    <t>theta</t>
  </si>
  <si>
    <t>x</t>
  </si>
  <si>
    <t>y</t>
  </si>
  <si>
    <t>required</t>
  </si>
  <si>
    <t>course_x</t>
  </si>
  <si>
    <t>course_y</t>
  </si>
  <si>
    <t>requisite_x</t>
  </si>
  <si>
    <t>requisite_y</t>
  </si>
  <si>
    <t>requisite_is_primary</t>
  </si>
  <si>
    <t>course_requisite_number</t>
  </si>
  <si>
    <t>equivalency_id</t>
  </si>
  <si>
    <t>equivalency_number</t>
  </si>
  <si>
    <t>M102</t>
  </si>
  <si>
    <t>M104</t>
  </si>
  <si>
    <t>M110</t>
  </si>
  <si>
    <t>M120</t>
  </si>
  <si>
    <t>M180</t>
  </si>
  <si>
    <t>M184</t>
  </si>
  <si>
    <t>M103</t>
  </si>
  <si>
    <t>M105</t>
  </si>
  <si>
    <t>M121</t>
  </si>
  <si>
    <t>M152</t>
  </si>
  <si>
    <t>M223</t>
  </si>
  <si>
    <t>M302</t>
  </si>
  <si>
    <t>M226</t>
  </si>
  <si>
    <t>M217</t>
  </si>
  <si>
    <t>M253</t>
  </si>
  <si>
    <t>M254</t>
  </si>
  <si>
    <t>track_id</t>
  </si>
  <si>
    <t>courses</t>
  </si>
  <si>
    <t>suggested</t>
  </si>
  <si>
    <t>description1</t>
  </si>
  <si>
    <t>description2</t>
  </si>
  <si>
    <t>Differential Equations and Analysis</t>
  </si>
  <si>
    <t>MATH 300, 301, 316, 317, 319, 329, 345, 400, 405</t>
  </si>
  <si>
    <t>PHYS 301, 304, 306</t>
  </si>
  <si>
    <t>This concentration is centred on the analysis of functions and the phenomena they describe, from quantum mechanics to celestial motion. Topics in this stream have many applications in physics and engineering. If you like calculus and want to learn about some of its most important applications, this concentration is for you.</t>
  </si>
  <si>
    <t>Degree requirements for BA/BSc Major in Mathematics include:&lt;ul&gt;&lt;li&gt;Calculus I (MATH 100, 102, 104, 180, 184, 110 or 120)&lt;/li&gt;&lt;li&gt;Calculus II (MATH 101, 103, 105 or 121)&lt;/li&gt;&lt;li&gt;Calculus III (MATH 200, 217 or 226)&lt;/li&gt;&lt;li&gt;Mathematical Proof (MATH 220)&lt;/li&gt;&lt;li&gt;Linear Algebra (MATH 221 or 223)&lt;/li&gt;&lt;li&gt;Differential Equations (MATH 215)&lt;/li&gt;&lt;li&gt;Mathematical Computing (MATH 210 or CPSC 210)&lt;/li&gt;&lt;li&gt;24 credits of MATH courses numbered 300 or above&lt;/li&gt;&lt;/ul&gt;</t>
  </si>
  <si>
    <t>Computational Mathematics</t>
  </si>
  <si>
    <t>MATH 307, 316, 319, 329, 340, 360, 405, 441, 461</t>
  </si>
  <si>
    <t>CPSC 302, 303, 402, 406; PHYS 210, 410</t>
  </si>
  <si>
    <t>This concentration is centred on solving problems using numerical techniques and approximations. Topics in this concentration have many applications in engineering, economics and computing. If you like solving math problems using software and programming, this concentration is for you.</t>
  </si>
  <si>
    <t>Mathematics of Information</t>
  </si>
  <si>
    <t>MATH 302, 303, 307, 319, 329, 340, 344, 441, 442</t>
  </si>
  <si>
    <t>CPSC 340, 440; PHIL 320, 321; PHYS 310; STAT 301, 305, 306, 406</t>
  </si>
  <si>
    <t>This concentration is centred on the theoretical foundations of data science. Topics in this concentration have many applications in machine learning and signal processing. If you like algorithms and making sense of large data sets, this concentration is for you.</t>
  </si>
  <si>
    <t>Mathematical Modelling</t>
  </si>
  <si>
    <t>MATH 302, 303, 316, 319, 329, 344, 345, 360+461 &lt;strong&gt;or&lt;/strong&gt; 361+462</t>
  </si>
  <si>
    <t>CPSC 330, 421; PHIL 321; PHYS 305</t>
  </si>
  <si>
    <t>This concentration is centred on constructing and evaluating mathematical models. Topics in this stream have many applications in science, especially in mathematical biology and computational mathematics for physical problems. If you like multidisciplinary work and using mathematics to describe real-world problems, this concentration is for you.</t>
  </si>
  <si>
    <t>Classical Mathematical Structures</t>
  </si>
  <si>
    <t>MATH 308, 309, 312, 313, 319, 329, 341, 342, 442</t>
  </si>
  <si>
    <t>CPSC 424; PHIL 320, 322, 323, 420</t>
  </si>
  <si>
    <t>This concentration is centred on classical problems in two of the most enduring branches of mathematics. Topics in this concentration have modern applications in areas including cryptography and computer graphics. If you like patterns and puzzles, this concentration is for you.</t>
  </si>
  <si>
    <t>reflection_id</t>
  </si>
  <si>
    <t>image</t>
  </si>
  <si>
    <t>currently</t>
  </si>
  <si>
    <t>degrees</t>
  </si>
  <si>
    <t>quote</t>
  </si>
  <si>
    <t>reflection</t>
  </si>
  <si>
    <t>JingyuanHu.jpg</t>
  </si>
  <si>
    <t>Jingyuan Hu</t>
  </si>
  <si>
    <t>PhD Student in Operations Research</t>
  </si>
  <si>
    <t>UBC Math 2019</t>
  </si>
  <si>
    <t>MATH 300, 302, 317</t>
  </si>
  <si>
    <t>My thorough training in analysis and probability has proved immensely valuable.</t>
  </si>
  <si>
    <t>As a PhD student in Operations Research, I frequently grapple with problems related to optimization and machine learning, and my thorough training in analysis and probability has proved immensely valuable. Whether you're engaged in research or an internship, acquiring knowledge in advanced courses sooner rather than later will give you a competitive edge. After all, the earlier you start, the more margin for error you have. Talk to your teachers and classmates often – having diverse perspectives and ideas is always beneficial.</t>
  </si>
  <si>
    <t>ShuwenJiang.jpg</t>
  </si>
  <si>
    <t>Shuwen Jiang</t>
  </si>
  <si>
    <t>MSc in Finance</t>
  </si>
  <si>
    <t>UBC Math and Economics 2021</t>
  </si>
  <si>
    <t>MATH 307, 316, 340</t>
  </si>
  <si>
    <t>MATH 340 (Introduction to Linear Programming) taught me how to think about optimization problems, such as how to maximize profit with constraints on risk.</t>
  </si>
  <si>
    <t>JamesYu.png</t>
  </si>
  <si>
    <t>James Yu</t>
  </si>
  <si>
    <t>PhD Student in Economics</t>
  </si>
  <si>
    <t>UBC Math and Economics 2022</t>
  </si>
  <si>
    <t>MATH 302, 307, 340, 442</t>
  </si>
  <si>
    <t>Many everyday optimization problems can be solved through the lens of graph-analyzing algorithms.</t>
  </si>
  <si>
    <t>I took Math 442 (Graphs and Networks) to formalize my interest in studying networks, an area I now explore in studying game theory as a PhD student in Economics. My biggest takeaway from the course was the idea that many everyday optimization problems can be solved through the lens of graph-analyzing algorithms: pathfinding, scheduling, searching and more. I learned that by representing a problem as a graph of vertices and edges, we give structure to difficult, high-dimensional scenarios. These structures then allow us to efficiently solve problems via algorithmic analysis, unlocking improvements in our lives that were previously inaccessible. In my research and graduate studies, I now use many of these models to gain insight into the welfare of individuals interacting in network environments such as markets and social media. By modeling these environments with graphs, we can determine if there are opportunities for systemic change, which can lead to beneficial welfare improvements in the lives of these individuals.</t>
  </si>
  <si>
    <t>FanerChen.jpg</t>
  </si>
  <si>
    <t>Faner Chen</t>
  </si>
  <si>
    <t>Investment Banker</t>
  </si>
  <si>
    <t>MATH 302, 345, 360</t>
  </si>
  <si>
    <t>Every time I encounter big problems, I always try to break them into smaller ones and approach them step by step.</t>
  </si>
  <si>
    <t>I might not remember every single theorem I learned in class, but what I value most is the skill of problem solving and logical thinking. During my first two years at UBC, I always wondered how I can apply what I have learned to something practical. Then I took some courses in mathematical modelling, like MATH 345 and MATH 360. In these courses, some real-world problems were seemingly impossible to solve. We were expected to break them down into smaller pieces and make reasonable assumptions. In my job, every time I encounter big problems, I always try to break them into smaller ones and approach them step by step.</t>
  </si>
  <si>
    <t>JoshuaRenault.png</t>
  </si>
  <si>
    <t>Joshua Renault</t>
  </si>
  <si>
    <t>MSc Student in Math</t>
  </si>
  <si>
    <t>UBC Math 2020</t>
  </si>
  <si>
    <t>MATH 310, 312, 313</t>
  </si>
  <si>
    <t>If you allow yourself to be amazed by the discipline, you will excel.</t>
  </si>
  <si>
    <t>The abstract nature of MATH 313 (Topics in Number Theory) is fascinating. I believe that this course gave me the skills to be confident starting any proof. This course will definitely have you closing your eyes and trying to imagine different spaces, and it is totally worth it.  (Take MATH 312 not STAT 312 as a prerequisite. It’s tougher but what you learn doing the proofs is invaluable.)&lt;br&gt;&lt;br&gt;I think the best advice I can offer is to enjoy the math you are taking. It is definitely a challenging degree, but if you allow yourself to be amazed by the discipline, you will excel.</t>
  </si>
  <si>
    <t>ubc.png</t>
  </si>
  <si>
    <t>Fiona Sudihok</t>
  </si>
  <si>
    <t>Systems Engineer</t>
  </si>
  <si>
    <t>-</t>
  </si>
  <si>
    <t>Math courses are not easy and fairly rigorous, and I think that having gone through them during undergrad in general made me a better problem solver.</t>
  </si>
  <si>
    <t>Math courses are not easy and fairly rigorous, and I think that having gone through them during undergrad in general made me a better problem solver, which is a very crucial skill in my day to day work. I really enjoyed a lot of the courses I took while I was in the program, but if I could change things up I would have liked to take courses that are more connected to each other to gain deeper knowledge on certain topics, as opposed to taking a more "introductory" course at every level.</t>
  </si>
  <si>
    <t>MeganOxland.jpeg</t>
  </si>
  <si>
    <t>Megan Oxland</t>
  </si>
  <si>
    <t>MSc Student in Astrophysics</t>
  </si>
  <si>
    <t>MATH 300, 301, 316, 317, 400</t>
  </si>
  <si>
    <t>The math courses that were heavily focused on linear algebra, calculus, and differential equations turned out to be the most useful.</t>
  </si>
  <si>
    <t>The math courses I took at UBC allowed me to explore my passions and taught me the foundational problem-solving skills I still use on a daily basis. I learned early on I was much more interested in applied math, yet every course I took still turned out to be valuable. In my day-to-day work in Astrophysics, the math courses that were heavily focused on linear algebra, calculus, and differential equations turned out to be the most useful. If you like MATH 316, MATH 400 is a natural continuation. And in MATH 317 the vector operators (i.e. gradient, divergence, curl, etc.) and theorems (i.e. Gauss, Stokes etc.) are extremely important topics that always arise in physics.&lt;br&gt;&lt;br&gt;There are a large number of electives Math students are able to take. Take the opportunity to select courses that are of interest, and not just ones that your friends are taking or are known to boost your average. This is the time to learn about all disciplines, and if you find something you are truly passionate about, stick with it and consider adding a minor to your degree. No only will you enjoy your electives, but a minor will organize your electives in a logical way and may provide you with future opportunities. One final piece of advice: go to office hours! I cannot stress this enough. Your professors are there to help you, and although it may be intimidating at first you will always feel much better after leaving.</t>
  </si>
  <si>
    <t>ChuxuanZhang.jpg</t>
  </si>
  <si>
    <t>Chuxuan Zhang</t>
  </si>
  <si>
    <t>MSc Student in Computer Science</t>
  </si>
  <si>
    <t>UBC Math 2022</t>
  </si>
  <si>
    <t>MATH 302, 303, 361</t>
  </si>
  <si>
    <t>You can learn classical biological models and get inspired by them even if your research interest seems in a completely different domain.</t>
  </si>
  <si>
    <t>MATH 361 helped me gain a lot of insight. I'm now doing research in the area of affective computing where I refine existing models which predict/classify human emotions. It is intuitive and straightforward to draw analogies between human emotions and biological systems. As humans, we experience complex emotions instead of monotone discrete emotions at any time. For example, if you are into horror movies, you probably have the combined feeling of being scared and thrilled when watching them. But too much fear might kill your joy, and too much joy won’t give you a sense of dread at all. The dynamic equilibrium is similar to the classical Lotka-Volterra predator-prey model which is taught in MATH 361! MATH 361 is a course where you can learn classical biological models and get inspired by them even if your research interest seems in a completely different domain.</t>
  </si>
  <si>
    <t>KarishmaSharma.jpg</t>
  </si>
  <si>
    <t>Karishma Sharma</t>
  </si>
  <si>
    <t>High School Math Teacher</t>
  </si>
  <si>
    <t>MATH 308, 310, 312, 342</t>
  </si>
  <si>
    <t>MATH 308 is where I really began to develop a love of proofs.</t>
  </si>
  <si>
    <t>MATH 308 is where I really began to develop a love of proofs. It was the first time I really understood how to approach proofs and how much fun they could be. This later directly applied to my job as I taught Foundations of Math 11/12 during my Teacher Education Practicum and had to be familiar with geometry proofs in particular. I learned relevant math teaching skills from this course as well. The way it was designed allowed us to problem-solve in less traditional ways. Assignments were formatted in a way that promoted student learning, so now I am able to apply those same strategies when assigning work to students. The prof I had for this course helped inspire me to dig deeper with my learning by asking guiding questions, and also engaging in teaching strategy discussions during office hours, which again has influenced my current teaching practices. I will be forever grateful for this course and the prof I had for inspiring and empowering me in so many different ways.</t>
  </si>
  <si>
    <t>D220</t>
  </si>
  <si>
    <t>Discrete Mathematics for Data Science</t>
  </si>
  <si>
    <t xml:space="preserve">[3-2-0] </t>
  </si>
  <si>
    <t>Data Structures for Data Science</t>
  </si>
  <si>
    <t>D221</t>
  </si>
  <si>
    <t>Reproducible and Trustworthy Workflows for Data Science</t>
  </si>
  <si>
    <t>D310</t>
  </si>
  <si>
    <t>D320</t>
  </si>
  <si>
    <t>D430</t>
  </si>
  <si>
    <t>Visualization for Data Science</t>
  </si>
  <si>
    <t>Fairness, Accountability, Transparency and Ethics (FATE) in Data Science</t>
  </si>
  <si>
    <t xml:space="preserve">[3-0-1] </t>
  </si>
  <si>
    <t>[3-1.5-0]</t>
  </si>
  <si>
    <t xml:space="preserve">[3-0-0] </t>
  </si>
  <si>
    <t xml:space="preserve">Boolean algebra and logical inference, proof techniques, sets, relations and functions, regular expressions, and data filtering. </t>
  </si>
  <si>
    <t>MATH 100 or SCIE 001</t>
  </si>
  <si>
    <t>CPSC 103 or CPSC 203</t>
  </si>
  <si>
    <t>Object-oriented programming. Design and analysis of basic algorithms and data structures especially relevant to data science. Algorithm analysis methods, basic data structures, graphs and graph algorithms.</t>
  </si>
  <si>
    <t>DSCI 220, or CPSC 121 and CPSC 203</t>
  </si>
  <si>
    <t xml:space="preserve">Data science methods to automate the running and testing of code and analytic reports, manage data analysis software dependencies, package and deploy software for data analysis, and collaborate with others using version control. </t>
  </si>
  <si>
    <t>Analysis, design, and implementation of static and interactive visual representations; visualization literacy; data communication; exploratory Data Analysis; application of theoretical principles to visualization development.</t>
  </si>
  <si>
    <t>Either (a) one of CPSC 203, CPSC 210, CPEN 221 or (b) one of MATH 210, ECON 323 and one of CPSC 107, CPSC 110</t>
  </si>
  <si>
    <t>Ethical application of data science and machine learning algorithms. Application of ethical theories in real-world case studies. Data ownership, collection, and validity. Algorithm auditing, fairness and transparency. Reducing unfairness in algorithms. Deployment of predictive models and dissemination of results.</t>
  </si>
  <si>
    <t>One of CPSC 330, CPSC 340, STAT 301, STAT 406</t>
  </si>
  <si>
    <t>One of CPSC 203, CPSC 210, CPEN 221, DSCI 221</t>
  </si>
  <si>
    <t>C103</t>
  </si>
  <si>
    <t>C203</t>
  </si>
  <si>
    <t>C121</t>
  </si>
  <si>
    <t>C210</t>
  </si>
  <si>
    <t>M210</t>
  </si>
  <si>
    <t>C107</t>
  </si>
  <si>
    <t>C110</t>
  </si>
  <si>
    <t>C330</t>
  </si>
  <si>
    <t>C340</t>
  </si>
  <si>
    <t>Introduction to Systematic Program Design</t>
  </si>
  <si>
    <t>Not for credit for students who have credit for, or exemption from, or are concurrently taking CPSC 110 or APSC 160.</t>
  </si>
  <si>
    <t>Computation as a tool for systematic problem solving in non-computer-science disciplines. Introductory programming skills. No programming experience expected.</t>
  </si>
  <si>
    <t>Programming, Problem Solving, and Algorithms</t>
  </si>
  <si>
    <t xml:space="preserve">Not for students with credit for, or currently enrolled in, CPSC 210 or CPEN 221. </t>
  </si>
  <si>
    <t>Analysis of increasingly complex algorithmic problems, using a modern programming language and a variety of approaches. Problem decomposition and abstraction guide explorations of topics from applied algorithms, for example Voronoi Diagrams, Markov Chains, Bin Packing, and Graph Search.</t>
  </si>
  <si>
    <t>One of CPSC 103, CPSC 110, APSC 160, EOSC 211, MATH 210, PHYS 210, COMM 337.</t>
  </si>
  <si>
    <t>Models of Computation</t>
  </si>
  <si>
    <t>Physical and mathematical structures of computation. Boolean algebra and combinations logic circuits; proof techniques; functions and sequential circuits; sets and relations; finite state machines; sequential instruction execution.</t>
  </si>
  <si>
    <t>[3-2-1]</t>
  </si>
  <si>
    <t>Principles of Mathematics 12 or Pre-calculus 12</t>
  </si>
  <si>
    <t>One of CPSC 107, CPSC 110.</t>
  </si>
  <si>
    <t>Software Construction</t>
  </si>
  <si>
    <t>Design, development, and analysis of robust software components. Topics such as software design, computational models, data structures, debugging, and testing.</t>
  </si>
  <si>
    <t>[3-2-0]</t>
  </si>
  <si>
    <t>Introduction to Mathematical Computing</t>
  </si>
  <si>
    <t>Introduction to mathematical software and numerical methods. Numbers, arrays, functions, vectorization and iteration. Sequences and series, root finding, numerical integration, numerical methods for differential equations, systems of linear equations, mathematical graphics.</t>
  </si>
  <si>
    <t>One of MATH 215, MATH 255, MATH 256, MATH 258</t>
  </si>
  <si>
    <t>One of MATH 152, MATH 221, MATH 223.</t>
  </si>
  <si>
    <t>M215</t>
  </si>
  <si>
    <t>One of MATH 200, MATH 217, MATH 226, MATH 253, MATH 254.</t>
  </si>
  <si>
    <t>Elementary Differential Equations I</t>
  </si>
  <si>
    <t>First-order equations; linear equations; linear systems; Laplace transforms; numerical methods; trajectory analysis of plane nonlinear systems. Applications of these topics will be emphasized.</t>
  </si>
  <si>
    <t>Systematic Program Design</t>
  </si>
  <si>
    <t>Fundamental computation and program structures. Continuing systematic program design from CPSC 103.</t>
  </si>
  <si>
    <t xml:space="preserve">CPSC 103 </t>
  </si>
  <si>
    <t>Computation, Programs, and Programming</t>
  </si>
  <si>
    <t>Fundamental program and computation structures. Introductory programming skills. Computation as a tool for information processing, simulation and modelling, and interacting with the world.</t>
  </si>
  <si>
    <t>[3-3-0]</t>
  </si>
  <si>
    <t>Applied Machine Learning</t>
  </si>
  <si>
    <t>Application of machine learning tools, with an emphasis on solving practical problems. Data cleaning, feature extraction, supervised and unsupervised machine learning, reproducible workflows, and communicating results.</t>
  </si>
  <si>
    <t>Machine Learning and Data Mining</t>
  </si>
  <si>
    <t>Models of algorithms for dimensionality reduction, nonlinear regression, classification, clustering and unsupervised learning; applications to computer graphics, computer games, bio-informatics, information retrieval, e-commerce, databases, computer vision and artificial intelligence.</t>
  </si>
  <si>
    <t>Either (a) one of CPSC 203, CPSC 210, CPEN 221, DSCI 221 or (b) MATH 210 and one of CPSC 107, CPSC 110.</t>
  </si>
  <si>
    <t>C221</t>
  </si>
  <si>
    <t>One of CPSC 221, DSCI 221</t>
  </si>
  <si>
    <t>One of MATH 200, MATH 217, MATH 226, MATH 253, MATH 254</t>
  </si>
  <si>
    <t>One of STAT 251, STAT 302, MATH 302, ECON 325, ECON 327, MATH 318</t>
  </si>
  <si>
    <t>MATH 255</t>
  </si>
  <si>
    <t>MATH 256</t>
  </si>
  <si>
    <t>MATH 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</si>
</sst>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scheme val="minor"/>
    </font>
    <font>
      <b/>
      <sz val="11"/>
      <color theme="1"/>
      <name val="Calibri"/>
      <family val="2"/>
    </font>
    <font>
      <sz val="11"/>
      <color theme="1"/>
      <name val="Calibri"/>
      <family val="2"/>
    </font>
    <font>
      <sz val="11"/>
      <color rgb="FF000000"/>
      <name val="Calibri"/>
      <family val="2"/>
    </font>
    <font>
      <sz val="11"/>
      <color theme="1"/>
      <name val="Calibri"/>
      <family val="2"/>
    </font>
    <font>
      <sz val="12"/>
      <color rgb="FF000000"/>
      <name val="Calibri"/>
      <family val="2"/>
    </font>
    <font>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xf numFmtId="0" fontId="3" fillId="0" borderId="0" xfId="0" applyFont="1"/>
    <xf numFmtId="0" fontId="4" fillId="0" borderId="0" xfId="0" applyFont="1"/>
    <xf numFmtId="0" fontId="4" fillId="0" borderId="0" xfId="0" applyFont="1" applyAlignment="1">
      <alignment horizontal="right"/>
    </xf>
    <xf numFmtId="0" fontId="5" fillId="0" borderId="0" xfId="0" applyFont="1"/>
    <xf numFmtId="164" fontId="4" fillId="0" borderId="0" xfId="0" applyNumberFormat="1" applyFont="1"/>
    <xf numFmtId="1" fontId="4" fillId="0" borderId="0" xfId="0" applyNumberFormat="1" applyFont="1"/>
    <xf numFmtId="164" fontId="3" fillId="0" borderId="0" xfId="0" applyNumberFormat="1" applyFont="1"/>
    <xf numFmtId="0" fontId="5" fillId="0" borderId="0" xfId="0" applyFont="1" applyAlignment="1">
      <alignment wrapText="1"/>
    </xf>
    <xf numFmtId="0" fontId="4" fillId="0" borderId="0" xfId="0" applyFont="1" applyAlignment="1">
      <alignment vertical="center" wrapText="1"/>
    </xf>
    <xf numFmtId="0" fontId="6" fillId="0" borderId="0" xfId="0" applyFont="1"/>
    <xf numFmtId="0" fontId="2" fillId="0" borderId="0" xfId="0" applyFont="1" applyFill="1"/>
    <xf numFmtId="0" fontId="2"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4"/>
  <sheetViews>
    <sheetView workbookViewId="0">
      <selection activeCell="A2" sqref="A2:A30"/>
    </sheetView>
  </sheetViews>
  <sheetFormatPr baseColWidth="10" defaultColWidth="14.5" defaultRowHeight="15" customHeight="1" x14ac:dyDescent="0.2"/>
  <cols>
    <col min="1" max="1" width="14.1640625" customWidth="1"/>
    <col min="2" max="2" width="8.83203125" customWidth="1"/>
    <col min="3" max="3" width="46.5" customWidth="1"/>
    <col min="4" max="4" width="218.5" customWidth="1"/>
    <col min="5" max="6" width="8.83203125" customWidth="1"/>
  </cols>
  <sheetData>
    <row r="1" spans="1:6" x14ac:dyDescent="0.2">
      <c r="A1" s="1" t="s">
        <v>0</v>
      </c>
      <c r="B1" s="1" t="s">
        <v>1</v>
      </c>
      <c r="C1" s="1" t="s">
        <v>2</v>
      </c>
      <c r="D1" s="1" t="s">
        <v>3</v>
      </c>
      <c r="E1" s="1" t="s">
        <v>4</v>
      </c>
      <c r="F1" s="1" t="s">
        <v>5</v>
      </c>
    </row>
    <row r="2" spans="1:6" x14ac:dyDescent="0.2">
      <c r="A2" s="14" t="s">
        <v>6</v>
      </c>
      <c r="B2" s="2" t="s">
        <v>7</v>
      </c>
      <c r="C2" s="2" t="s">
        <v>8</v>
      </c>
      <c r="D2" s="2" t="s">
        <v>9</v>
      </c>
      <c r="E2" s="2" t="s">
        <v>10</v>
      </c>
      <c r="F2" s="2" t="s">
        <v>11</v>
      </c>
    </row>
    <row r="3" spans="1:6" x14ac:dyDescent="0.2">
      <c r="A3" s="14" t="s">
        <v>12</v>
      </c>
      <c r="B3" s="2" t="s">
        <v>7</v>
      </c>
      <c r="C3" s="2" t="s">
        <v>13</v>
      </c>
      <c r="D3" s="2" t="s">
        <v>14</v>
      </c>
      <c r="E3" s="2" t="s">
        <v>15</v>
      </c>
    </row>
    <row r="4" spans="1:6" x14ac:dyDescent="0.2">
      <c r="A4" s="14" t="s">
        <v>17</v>
      </c>
      <c r="B4" s="2" t="s">
        <v>7</v>
      </c>
      <c r="C4" s="2" t="s">
        <v>18</v>
      </c>
      <c r="D4" s="2" t="s">
        <v>19</v>
      </c>
      <c r="E4" s="2" t="s">
        <v>10</v>
      </c>
      <c r="F4" s="2" t="s">
        <v>20</v>
      </c>
    </row>
    <row r="5" spans="1:6" x14ac:dyDescent="0.2">
      <c r="A5" s="14" t="s">
        <v>21</v>
      </c>
      <c r="B5" s="2" t="s">
        <v>7</v>
      </c>
      <c r="C5" s="2" t="s">
        <v>22</v>
      </c>
      <c r="D5" s="2" t="s">
        <v>23</v>
      </c>
      <c r="E5" s="2" t="s">
        <v>10</v>
      </c>
      <c r="F5" s="2" t="s">
        <v>24</v>
      </c>
    </row>
    <row r="6" spans="1:6" x14ac:dyDescent="0.2">
      <c r="A6" s="14" t="s">
        <v>25</v>
      </c>
      <c r="B6" s="2" t="s">
        <v>7</v>
      </c>
      <c r="C6" s="2" t="s">
        <v>26</v>
      </c>
      <c r="D6" s="2" t="s">
        <v>27</v>
      </c>
      <c r="E6" s="2" t="s">
        <v>15</v>
      </c>
    </row>
    <row r="7" spans="1:6" x14ac:dyDescent="0.2">
      <c r="A7" s="14" t="s">
        <v>28</v>
      </c>
      <c r="B7" s="2" t="s">
        <v>7</v>
      </c>
      <c r="C7" s="2" t="s">
        <v>29</v>
      </c>
      <c r="D7" s="2" t="s">
        <v>30</v>
      </c>
      <c r="E7" s="2" t="s">
        <v>31</v>
      </c>
      <c r="F7" s="2" t="s">
        <v>32</v>
      </c>
    </row>
    <row r="8" spans="1:6" x14ac:dyDescent="0.2">
      <c r="A8" s="14" t="s">
        <v>34</v>
      </c>
      <c r="B8" s="2" t="s">
        <v>7</v>
      </c>
      <c r="C8" s="2" t="s">
        <v>35</v>
      </c>
      <c r="D8" s="2" t="s">
        <v>36</v>
      </c>
      <c r="E8" s="2" t="s">
        <v>15</v>
      </c>
      <c r="F8" s="2" t="s">
        <v>37</v>
      </c>
    </row>
    <row r="9" spans="1:6" x14ac:dyDescent="0.2">
      <c r="A9" s="14" t="s">
        <v>45</v>
      </c>
      <c r="B9" s="2" t="s">
        <v>7</v>
      </c>
      <c r="C9" s="2" t="s">
        <v>46</v>
      </c>
      <c r="D9" s="2" t="s">
        <v>47</v>
      </c>
      <c r="E9" s="2" t="s">
        <v>15</v>
      </c>
    </row>
    <row r="10" spans="1:6" ht="15" customHeight="1" x14ac:dyDescent="0.2">
      <c r="A10" s="14" t="s">
        <v>55</v>
      </c>
      <c r="B10" s="2">
        <v>3</v>
      </c>
      <c r="C10" s="2" t="s">
        <v>56</v>
      </c>
      <c r="D10" s="2" t="s">
        <v>57</v>
      </c>
      <c r="E10" s="2" t="s">
        <v>31</v>
      </c>
      <c r="F10" s="2" t="s">
        <v>58</v>
      </c>
    </row>
    <row r="11" spans="1:6" ht="15.75" customHeight="1" x14ac:dyDescent="0.2">
      <c r="A11" s="14" t="s">
        <v>59</v>
      </c>
      <c r="B11" s="2">
        <v>3</v>
      </c>
      <c r="C11" s="2" t="s">
        <v>60</v>
      </c>
      <c r="D11" s="2" t="s">
        <v>61</v>
      </c>
      <c r="E11" s="2" t="s">
        <v>31</v>
      </c>
      <c r="F11" s="2" t="s">
        <v>62</v>
      </c>
    </row>
    <row r="12" spans="1:6" ht="15.75" customHeight="1" x14ac:dyDescent="0.2">
      <c r="A12" s="14" t="s">
        <v>63</v>
      </c>
      <c r="B12" s="2">
        <v>3</v>
      </c>
      <c r="C12" s="2" t="s">
        <v>64</v>
      </c>
      <c r="D12" s="2" t="s">
        <v>65</v>
      </c>
      <c r="E12" s="2" t="s">
        <v>31</v>
      </c>
      <c r="F12" s="2" t="s">
        <v>66</v>
      </c>
    </row>
    <row r="13" spans="1:6" ht="15.75" customHeight="1" x14ac:dyDescent="0.2">
      <c r="A13" s="14" t="s">
        <v>269</v>
      </c>
      <c r="B13" s="2">
        <v>3</v>
      </c>
      <c r="C13" t="s">
        <v>289</v>
      </c>
      <c r="D13" t="s">
        <v>290</v>
      </c>
      <c r="E13" s="13" t="s">
        <v>31</v>
      </c>
    </row>
    <row r="14" spans="1:6" ht="15.75" customHeight="1" x14ac:dyDescent="0.2">
      <c r="A14" s="14" t="s">
        <v>293</v>
      </c>
      <c r="B14" s="2">
        <v>3</v>
      </c>
      <c r="C14" t="s">
        <v>295</v>
      </c>
      <c r="D14" s="13" t="s">
        <v>296</v>
      </c>
      <c r="E14" s="13" t="s">
        <v>31</v>
      </c>
    </row>
    <row r="15" spans="1:6" ht="15.75" customHeight="1" x14ac:dyDescent="0.2">
      <c r="A15" s="14" t="s">
        <v>67</v>
      </c>
      <c r="B15" s="2">
        <v>3</v>
      </c>
      <c r="C15" s="2" t="s">
        <v>68</v>
      </c>
      <c r="D15" s="2" t="s">
        <v>69</v>
      </c>
      <c r="E15" s="2" t="s">
        <v>31</v>
      </c>
      <c r="F15" s="2" t="s">
        <v>70</v>
      </c>
    </row>
    <row r="16" spans="1:6" ht="15.75" customHeight="1" x14ac:dyDescent="0.2">
      <c r="A16" s="14" t="s">
        <v>72</v>
      </c>
      <c r="B16" s="2">
        <v>3</v>
      </c>
      <c r="C16" s="2" t="s">
        <v>73</v>
      </c>
      <c r="D16" s="2" t="s">
        <v>74</v>
      </c>
      <c r="E16" s="2" t="s">
        <v>15</v>
      </c>
    </row>
    <row r="17" spans="1:6" ht="15.75" customHeight="1" x14ac:dyDescent="0.2">
      <c r="A17" s="14" t="s">
        <v>75</v>
      </c>
      <c r="B17" s="2">
        <v>3</v>
      </c>
      <c r="C17" s="2" t="s">
        <v>76</v>
      </c>
      <c r="D17" s="2" t="s">
        <v>77</v>
      </c>
      <c r="E17" s="2" t="s">
        <v>31</v>
      </c>
    </row>
    <row r="18" spans="1:6" ht="15.75" customHeight="1" x14ac:dyDescent="0.2">
      <c r="A18" s="14" t="s">
        <v>240</v>
      </c>
      <c r="B18" s="2">
        <v>4</v>
      </c>
      <c r="C18" t="s">
        <v>241</v>
      </c>
      <c r="D18" s="13" t="s">
        <v>254</v>
      </c>
      <c r="E18" t="s">
        <v>242</v>
      </c>
    </row>
    <row r="19" spans="1:6" ht="15.75" customHeight="1" x14ac:dyDescent="0.2">
      <c r="A19" s="14" t="s">
        <v>244</v>
      </c>
      <c r="B19" s="2">
        <v>4</v>
      </c>
      <c r="C19" t="s">
        <v>243</v>
      </c>
      <c r="D19" s="13" t="s">
        <v>257</v>
      </c>
      <c r="E19" t="s">
        <v>242</v>
      </c>
    </row>
    <row r="20" spans="1:6" ht="15.75" customHeight="1" x14ac:dyDescent="0.2">
      <c r="A20" s="14" t="s">
        <v>246</v>
      </c>
      <c r="B20" s="2">
        <v>3</v>
      </c>
      <c r="C20" t="s">
        <v>245</v>
      </c>
      <c r="D20" s="13" t="s">
        <v>259</v>
      </c>
      <c r="E20" t="s">
        <v>251</v>
      </c>
    </row>
    <row r="21" spans="1:6" ht="15.75" customHeight="1" x14ac:dyDescent="0.2">
      <c r="A21" s="14" t="s">
        <v>247</v>
      </c>
      <c r="B21" s="2">
        <v>3</v>
      </c>
      <c r="C21" t="s">
        <v>249</v>
      </c>
      <c r="D21" s="13" t="s">
        <v>260</v>
      </c>
      <c r="E21" t="s">
        <v>252</v>
      </c>
    </row>
    <row r="22" spans="1:6" ht="15.75" customHeight="1" x14ac:dyDescent="0.2">
      <c r="A22" s="14" t="s">
        <v>248</v>
      </c>
      <c r="B22" s="2">
        <v>3</v>
      </c>
      <c r="C22" t="s">
        <v>250</v>
      </c>
      <c r="D22" s="13" t="s">
        <v>262</v>
      </c>
      <c r="E22" t="s">
        <v>253</v>
      </c>
    </row>
    <row r="23" spans="1:6" ht="15.75" customHeight="1" x14ac:dyDescent="0.2">
      <c r="A23" s="14" t="s">
        <v>265</v>
      </c>
      <c r="B23" s="2">
        <v>3</v>
      </c>
      <c r="C23" t="s">
        <v>274</v>
      </c>
      <c r="D23" s="13" t="s">
        <v>276</v>
      </c>
      <c r="E23" s="13" t="s">
        <v>15</v>
      </c>
      <c r="F23" t="s">
        <v>275</v>
      </c>
    </row>
    <row r="24" spans="1:6" ht="15.75" customHeight="1" x14ac:dyDescent="0.2">
      <c r="A24" s="14" t="s">
        <v>270</v>
      </c>
      <c r="B24" s="2">
        <v>3</v>
      </c>
      <c r="C24" s="13" t="s">
        <v>297</v>
      </c>
      <c r="D24" s="13" t="s">
        <v>298</v>
      </c>
      <c r="E24" s="13" t="s">
        <v>288</v>
      </c>
    </row>
    <row r="25" spans="1:6" ht="15.75" customHeight="1" x14ac:dyDescent="0.2">
      <c r="A25" s="14" t="s">
        <v>271</v>
      </c>
      <c r="B25" s="2">
        <v>4</v>
      </c>
      <c r="C25" s="13" t="s">
        <v>300</v>
      </c>
      <c r="D25" s="13" t="s">
        <v>301</v>
      </c>
      <c r="E25" s="13" t="s">
        <v>302</v>
      </c>
    </row>
    <row r="26" spans="1:6" ht="15.75" customHeight="1" x14ac:dyDescent="0.2">
      <c r="A26" s="14" t="s">
        <v>267</v>
      </c>
      <c r="B26" s="2">
        <v>4</v>
      </c>
      <c r="C26" t="s">
        <v>281</v>
      </c>
      <c r="D26" t="s">
        <v>282</v>
      </c>
      <c r="E26" s="13" t="s">
        <v>283</v>
      </c>
    </row>
    <row r="27" spans="1:6" ht="15.75" customHeight="1" x14ac:dyDescent="0.2">
      <c r="A27" s="14" t="s">
        <v>266</v>
      </c>
      <c r="B27" s="2">
        <v>3</v>
      </c>
      <c r="C27" t="s">
        <v>277</v>
      </c>
      <c r="D27" s="13" t="s">
        <v>279</v>
      </c>
      <c r="E27" s="13" t="s">
        <v>15</v>
      </c>
      <c r="F27" s="13" t="s">
        <v>278</v>
      </c>
    </row>
    <row r="28" spans="1:6" ht="15.75" customHeight="1" x14ac:dyDescent="0.2">
      <c r="A28" s="14" t="s">
        <v>268</v>
      </c>
      <c r="B28" s="2">
        <v>4</v>
      </c>
      <c r="C28" s="13" t="s">
        <v>286</v>
      </c>
      <c r="D28" t="s">
        <v>287</v>
      </c>
      <c r="E28" s="13" t="s">
        <v>288</v>
      </c>
    </row>
    <row r="29" spans="1:6" ht="15.75" customHeight="1" x14ac:dyDescent="0.2">
      <c r="A29" s="14" t="s">
        <v>272</v>
      </c>
      <c r="B29" s="2">
        <v>3</v>
      </c>
      <c r="C29" s="13" t="s">
        <v>303</v>
      </c>
      <c r="D29" s="13" t="s">
        <v>304</v>
      </c>
      <c r="E29" s="13" t="s">
        <v>15</v>
      </c>
    </row>
    <row r="30" spans="1:6" ht="15.75" customHeight="1" x14ac:dyDescent="0.2">
      <c r="A30" s="14" t="s">
        <v>273</v>
      </c>
      <c r="B30" s="2">
        <v>3</v>
      </c>
      <c r="C30" s="13" t="s">
        <v>305</v>
      </c>
      <c r="D30" s="13" t="s">
        <v>306</v>
      </c>
      <c r="E30" s="13" t="s">
        <v>15</v>
      </c>
    </row>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79"/>
  <sheetViews>
    <sheetView workbookViewId="0">
      <selection activeCell="D17" sqref="D17"/>
    </sheetView>
  </sheetViews>
  <sheetFormatPr baseColWidth="10" defaultColWidth="14.5" defaultRowHeight="15" customHeight="1" x14ac:dyDescent="0.2"/>
  <cols>
    <col min="1" max="3" width="8.83203125" customWidth="1"/>
    <col min="4" max="4" width="176.6640625" customWidth="1"/>
    <col min="5" max="6" width="8.83203125" customWidth="1"/>
  </cols>
  <sheetData>
    <row r="1" spans="1:5" x14ac:dyDescent="0.2">
      <c r="A1" s="1" t="s">
        <v>78</v>
      </c>
      <c r="B1" s="3" t="s">
        <v>0</v>
      </c>
      <c r="C1" s="3" t="s">
        <v>79</v>
      </c>
      <c r="D1" s="3" t="s">
        <v>3</v>
      </c>
      <c r="E1" s="4"/>
    </row>
    <row r="2" spans="1:5" x14ac:dyDescent="0.2">
      <c r="A2" s="4">
        <v>1</v>
      </c>
      <c r="B2" s="4" t="s">
        <v>6</v>
      </c>
      <c r="C2" s="4" t="s">
        <v>80</v>
      </c>
      <c r="D2" s="4" t="s">
        <v>81</v>
      </c>
      <c r="E2" s="4"/>
    </row>
    <row r="3" spans="1:5" x14ac:dyDescent="0.2">
      <c r="A3" s="4">
        <v>2</v>
      </c>
      <c r="B3" s="4" t="s">
        <v>12</v>
      </c>
      <c r="C3" s="4" t="s">
        <v>80</v>
      </c>
      <c r="D3" s="4" t="s">
        <v>82</v>
      </c>
      <c r="E3" s="4"/>
    </row>
    <row r="4" spans="1:5" x14ac:dyDescent="0.2">
      <c r="A4" s="4">
        <v>3</v>
      </c>
      <c r="B4" s="4" t="s">
        <v>17</v>
      </c>
      <c r="C4" s="4" t="s">
        <v>80</v>
      </c>
      <c r="D4" s="4" t="s">
        <v>83</v>
      </c>
      <c r="E4" s="4"/>
    </row>
    <row r="5" spans="1:5" x14ac:dyDescent="0.2">
      <c r="A5" s="4">
        <v>4</v>
      </c>
      <c r="B5" s="4" t="s">
        <v>21</v>
      </c>
      <c r="C5" s="4" t="s">
        <v>80</v>
      </c>
      <c r="D5" s="4" t="s">
        <v>84</v>
      </c>
      <c r="E5" s="4"/>
    </row>
    <row r="6" spans="1:5" x14ac:dyDescent="0.2">
      <c r="A6" s="4">
        <v>5</v>
      </c>
      <c r="B6" s="4" t="s">
        <v>25</v>
      </c>
      <c r="C6" s="4" t="s">
        <v>80</v>
      </c>
      <c r="D6" s="4" t="s">
        <v>85</v>
      </c>
      <c r="E6" s="4"/>
    </row>
    <row r="7" spans="1:5" x14ac:dyDescent="0.2">
      <c r="A7" s="4">
        <v>6</v>
      </c>
      <c r="B7" s="4" t="s">
        <v>25</v>
      </c>
      <c r="C7" s="4" t="s">
        <v>80</v>
      </c>
      <c r="D7" s="4" t="s">
        <v>86</v>
      </c>
      <c r="E7" s="4"/>
    </row>
    <row r="8" spans="1:5" x14ac:dyDescent="0.2">
      <c r="A8" s="4">
        <v>7</v>
      </c>
      <c r="B8" s="4" t="s">
        <v>28</v>
      </c>
      <c r="C8" s="4" t="s">
        <v>80</v>
      </c>
      <c r="D8" s="4" t="s">
        <v>87</v>
      </c>
      <c r="E8" s="4"/>
    </row>
    <row r="9" spans="1:5" x14ac:dyDescent="0.2">
      <c r="A9" s="4">
        <v>8</v>
      </c>
      <c r="B9" s="4" t="s">
        <v>34</v>
      </c>
      <c r="C9" s="4" t="s">
        <v>80</v>
      </c>
      <c r="D9" s="4" t="s">
        <v>88</v>
      </c>
      <c r="E9" s="4"/>
    </row>
    <row r="10" spans="1:5" x14ac:dyDescent="0.2">
      <c r="A10" s="4">
        <v>9</v>
      </c>
      <c r="B10" s="4" t="s">
        <v>34</v>
      </c>
      <c r="C10" s="4" t="s">
        <v>80</v>
      </c>
      <c r="D10" s="4" t="s">
        <v>89</v>
      </c>
      <c r="E10" s="4"/>
    </row>
    <row r="11" spans="1:5" x14ac:dyDescent="0.2">
      <c r="A11" s="4">
        <v>10</v>
      </c>
      <c r="B11" s="4" t="s">
        <v>34</v>
      </c>
      <c r="C11" s="4" t="s">
        <v>80</v>
      </c>
      <c r="D11" s="4" t="s">
        <v>90</v>
      </c>
      <c r="E11" s="4"/>
    </row>
    <row r="12" spans="1:5" ht="15.75" customHeight="1" x14ac:dyDescent="0.2">
      <c r="A12" s="4">
        <v>11</v>
      </c>
      <c r="B12" s="4" t="s">
        <v>45</v>
      </c>
      <c r="C12" s="4" t="s">
        <v>80</v>
      </c>
      <c r="D12" s="4" t="s">
        <v>92</v>
      </c>
      <c r="E12" s="4"/>
    </row>
    <row r="13" spans="1:5" ht="15.75" customHeight="1" x14ac:dyDescent="0.2">
      <c r="A13" s="4">
        <v>12</v>
      </c>
      <c r="B13" s="4" t="s">
        <v>55</v>
      </c>
      <c r="C13" s="4" t="s">
        <v>80</v>
      </c>
      <c r="D13" s="4" t="s">
        <v>93</v>
      </c>
      <c r="E13" s="4"/>
    </row>
    <row r="14" spans="1:5" ht="15.75" customHeight="1" x14ac:dyDescent="0.2">
      <c r="A14" s="4">
        <v>13</v>
      </c>
      <c r="B14" s="4" t="s">
        <v>59</v>
      </c>
      <c r="C14" s="4" t="s">
        <v>80</v>
      </c>
      <c r="D14" s="4" t="s">
        <v>94</v>
      </c>
      <c r="E14" s="4"/>
    </row>
    <row r="15" spans="1:5" ht="15.75" customHeight="1" x14ac:dyDescent="0.2">
      <c r="A15" s="4">
        <v>14</v>
      </c>
      <c r="B15" s="4" t="s">
        <v>63</v>
      </c>
      <c r="C15" s="4" t="s">
        <v>80</v>
      </c>
      <c r="D15" s="4" t="s">
        <v>95</v>
      </c>
      <c r="E15" s="4"/>
    </row>
    <row r="16" spans="1:5" ht="15.75" customHeight="1" x14ac:dyDescent="0.2">
      <c r="A16" s="4">
        <v>15</v>
      </c>
      <c r="B16" s="2" t="s">
        <v>269</v>
      </c>
      <c r="C16" s="4" t="s">
        <v>80</v>
      </c>
      <c r="D16" s="13" t="s">
        <v>83</v>
      </c>
    </row>
    <row r="17" spans="1:5" ht="15.75" customHeight="1" x14ac:dyDescent="0.2">
      <c r="A17" s="4">
        <v>16</v>
      </c>
      <c r="B17" s="2" t="s">
        <v>269</v>
      </c>
      <c r="C17" s="4" t="s">
        <v>91</v>
      </c>
      <c r="D17" s="13" t="s">
        <v>291</v>
      </c>
    </row>
    <row r="18" spans="1:5" ht="15.75" customHeight="1" x14ac:dyDescent="0.2">
      <c r="A18" s="4">
        <v>17</v>
      </c>
      <c r="B18" s="2" t="s">
        <v>269</v>
      </c>
      <c r="C18" s="4" t="s">
        <v>91</v>
      </c>
      <c r="D18" s="13" t="s">
        <v>292</v>
      </c>
    </row>
    <row r="19" spans="1:5" ht="15.75" customHeight="1" x14ac:dyDescent="0.2">
      <c r="A19" s="4">
        <v>18</v>
      </c>
      <c r="B19" s="2" t="s">
        <v>293</v>
      </c>
      <c r="C19" s="4" t="s">
        <v>80</v>
      </c>
      <c r="D19" s="13" t="s">
        <v>83</v>
      </c>
    </row>
    <row r="20" spans="1:5" ht="15.75" customHeight="1" x14ac:dyDescent="0.2">
      <c r="A20" s="4">
        <v>19</v>
      </c>
      <c r="B20" s="2" t="s">
        <v>293</v>
      </c>
      <c r="C20" s="4" t="s">
        <v>80</v>
      </c>
      <c r="D20" s="13" t="s">
        <v>88</v>
      </c>
    </row>
    <row r="21" spans="1:5" ht="15.75" customHeight="1" x14ac:dyDescent="0.2">
      <c r="A21" s="4">
        <v>20</v>
      </c>
      <c r="B21" s="2" t="s">
        <v>293</v>
      </c>
      <c r="C21" s="4" t="s">
        <v>91</v>
      </c>
      <c r="D21" s="13" t="s">
        <v>294</v>
      </c>
    </row>
    <row r="22" spans="1:5" ht="15.75" customHeight="1" x14ac:dyDescent="0.2">
      <c r="A22" s="4">
        <v>21</v>
      </c>
      <c r="B22" s="4" t="s">
        <v>67</v>
      </c>
      <c r="C22" s="4" t="s">
        <v>80</v>
      </c>
      <c r="D22" s="4" t="s">
        <v>96</v>
      </c>
      <c r="E22" s="4"/>
    </row>
    <row r="23" spans="1:5" ht="15.75" customHeight="1" x14ac:dyDescent="0.2">
      <c r="A23" s="4">
        <v>22</v>
      </c>
      <c r="B23" s="4" t="s">
        <v>72</v>
      </c>
      <c r="C23" s="4" t="s">
        <v>80</v>
      </c>
      <c r="D23" s="4" t="s">
        <v>97</v>
      </c>
      <c r="E23" s="4"/>
    </row>
    <row r="24" spans="1:5" ht="15.75" customHeight="1" x14ac:dyDescent="0.2">
      <c r="A24" s="4">
        <v>23</v>
      </c>
      <c r="B24" s="4" t="s">
        <v>75</v>
      </c>
      <c r="C24" s="4" t="s">
        <v>80</v>
      </c>
      <c r="D24" s="4" t="s">
        <v>82</v>
      </c>
      <c r="E24" s="4"/>
    </row>
    <row r="25" spans="1:5" ht="15.75" customHeight="1" x14ac:dyDescent="0.2">
      <c r="A25" s="4">
        <v>24</v>
      </c>
      <c r="B25" s="2" t="s">
        <v>240</v>
      </c>
      <c r="C25" s="4" t="s">
        <v>80</v>
      </c>
      <c r="D25" s="4" t="s">
        <v>255</v>
      </c>
      <c r="E25" s="4"/>
    </row>
    <row r="26" spans="1:5" ht="15.75" customHeight="1" x14ac:dyDescent="0.2">
      <c r="A26" s="4">
        <v>25</v>
      </c>
      <c r="B26" s="2" t="s">
        <v>240</v>
      </c>
      <c r="C26" s="4" t="s">
        <v>80</v>
      </c>
      <c r="D26" s="4" t="s">
        <v>82</v>
      </c>
      <c r="E26" s="4"/>
    </row>
    <row r="27" spans="1:5" ht="15.75" customHeight="1" x14ac:dyDescent="0.2">
      <c r="A27" s="4">
        <v>26</v>
      </c>
      <c r="B27" s="2" t="s">
        <v>240</v>
      </c>
      <c r="C27" s="4" t="s">
        <v>80</v>
      </c>
      <c r="D27" s="4" t="s">
        <v>256</v>
      </c>
      <c r="E27" s="4"/>
    </row>
    <row r="28" spans="1:5" ht="15.75" customHeight="1" x14ac:dyDescent="0.2">
      <c r="A28" s="4">
        <v>27</v>
      </c>
      <c r="B28" s="2" t="s">
        <v>244</v>
      </c>
      <c r="C28" s="4" t="s">
        <v>80</v>
      </c>
      <c r="D28" s="4" t="s">
        <v>258</v>
      </c>
      <c r="E28" s="4"/>
    </row>
    <row r="29" spans="1:5" ht="15.75" customHeight="1" x14ac:dyDescent="0.2">
      <c r="A29" s="4">
        <v>28</v>
      </c>
      <c r="B29" s="2" t="s">
        <v>246</v>
      </c>
      <c r="C29" s="4" t="s">
        <v>80</v>
      </c>
      <c r="D29" s="4" t="s">
        <v>82</v>
      </c>
      <c r="E29" s="4"/>
    </row>
    <row r="30" spans="1:5" ht="15.75" customHeight="1" x14ac:dyDescent="0.2">
      <c r="A30" s="4">
        <v>29</v>
      </c>
      <c r="B30" s="2" t="s">
        <v>246</v>
      </c>
      <c r="C30" s="4" t="s">
        <v>80</v>
      </c>
      <c r="D30" s="4" t="s">
        <v>261</v>
      </c>
      <c r="E30" s="4"/>
    </row>
    <row r="31" spans="1:5" ht="15.75" customHeight="1" x14ac:dyDescent="0.2">
      <c r="A31" s="4">
        <v>30</v>
      </c>
      <c r="B31" s="2" t="s">
        <v>247</v>
      </c>
      <c r="C31" s="4" t="s">
        <v>80</v>
      </c>
      <c r="D31" s="4" t="s">
        <v>85</v>
      </c>
      <c r="E31" s="4"/>
    </row>
    <row r="32" spans="1:5" ht="15.75" customHeight="1" x14ac:dyDescent="0.2">
      <c r="A32" s="4">
        <v>31</v>
      </c>
      <c r="B32" s="2" t="s">
        <v>247</v>
      </c>
      <c r="C32" s="4" t="s">
        <v>80</v>
      </c>
      <c r="D32" s="4" t="s">
        <v>264</v>
      </c>
      <c r="E32" s="4" t="s">
        <v>98</v>
      </c>
    </row>
    <row r="33" spans="1:4" ht="15.75" customHeight="1" x14ac:dyDescent="0.2">
      <c r="A33" s="4">
        <v>32</v>
      </c>
      <c r="B33" s="2" t="s">
        <v>248</v>
      </c>
      <c r="C33" s="4" t="s">
        <v>80</v>
      </c>
      <c r="D33" s="13" t="s">
        <v>263</v>
      </c>
    </row>
    <row r="34" spans="1:4" ht="15.75" customHeight="1" x14ac:dyDescent="0.2">
      <c r="A34" s="4">
        <v>33</v>
      </c>
      <c r="B34" s="2" t="s">
        <v>270</v>
      </c>
      <c r="C34" s="4" t="s">
        <v>80</v>
      </c>
      <c r="D34" s="13" t="s">
        <v>299</v>
      </c>
    </row>
    <row r="35" spans="1:4" ht="16" customHeight="1" x14ac:dyDescent="0.2">
      <c r="A35" s="4">
        <v>34</v>
      </c>
      <c r="B35" s="2" t="s">
        <v>267</v>
      </c>
      <c r="C35" s="4" t="s">
        <v>80</v>
      </c>
      <c r="D35" s="13" t="s">
        <v>284</v>
      </c>
    </row>
    <row r="36" spans="1:4" ht="15.75" customHeight="1" x14ac:dyDescent="0.2">
      <c r="A36" s="4">
        <v>35</v>
      </c>
      <c r="B36" s="2" t="s">
        <v>267</v>
      </c>
      <c r="C36" s="4" t="s">
        <v>91</v>
      </c>
      <c r="D36" s="13" t="s">
        <v>285</v>
      </c>
    </row>
    <row r="37" spans="1:4" ht="15.75" customHeight="1" x14ac:dyDescent="0.2">
      <c r="A37" s="4">
        <v>36</v>
      </c>
      <c r="B37" s="2" t="s">
        <v>266</v>
      </c>
      <c r="C37" s="4" t="s">
        <v>80</v>
      </c>
      <c r="D37" s="13" t="s">
        <v>280</v>
      </c>
    </row>
    <row r="38" spans="1:4" ht="15.75" customHeight="1" x14ac:dyDescent="0.2">
      <c r="A38" s="4">
        <v>37</v>
      </c>
      <c r="B38" s="2" t="s">
        <v>268</v>
      </c>
      <c r="C38" s="4" t="s">
        <v>80</v>
      </c>
      <c r="D38" t="s">
        <v>285</v>
      </c>
    </row>
    <row r="39" spans="1:4" ht="15.75" customHeight="1" x14ac:dyDescent="0.2">
      <c r="A39" s="4">
        <v>38</v>
      </c>
      <c r="B39" s="2" t="s">
        <v>272</v>
      </c>
      <c r="C39" s="4" t="s">
        <v>80</v>
      </c>
      <c r="D39" s="13" t="s">
        <v>307</v>
      </c>
    </row>
    <row r="40" spans="1:4" ht="15.75" customHeight="1" x14ac:dyDescent="0.2">
      <c r="A40" s="4">
        <v>39</v>
      </c>
      <c r="B40" s="2" t="s">
        <v>273</v>
      </c>
      <c r="C40" s="4" t="s">
        <v>80</v>
      </c>
      <c r="D40" s="13" t="s">
        <v>309</v>
      </c>
    </row>
    <row r="41" spans="1:4" ht="15.75" customHeight="1" x14ac:dyDescent="0.2">
      <c r="A41" s="4">
        <v>40</v>
      </c>
      <c r="B41" s="2" t="s">
        <v>273</v>
      </c>
      <c r="C41" s="4" t="s">
        <v>80</v>
      </c>
      <c r="D41" s="13" t="s">
        <v>88</v>
      </c>
    </row>
    <row r="42" spans="1:4" ht="15.75" customHeight="1" x14ac:dyDescent="0.2">
      <c r="A42" s="4">
        <v>41</v>
      </c>
      <c r="B42" s="2" t="s">
        <v>273</v>
      </c>
      <c r="C42" s="4" t="s">
        <v>80</v>
      </c>
      <c r="D42" s="13" t="s">
        <v>310</v>
      </c>
    </row>
    <row r="43" spans="1:4" ht="15.75" customHeight="1" x14ac:dyDescent="0.2">
      <c r="A43" s="4">
        <v>42</v>
      </c>
      <c r="B43" s="2" t="s">
        <v>273</v>
      </c>
      <c r="C43" s="4" t="s">
        <v>80</v>
      </c>
      <c r="D43" s="13" t="s">
        <v>311</v>
      </c>
    </row>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phoneticPr fontId="7"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75"/>
  <sheetViews>
    <sheetView topLeftCell="A19" workbookViewId="0">
      <selection activeCell="C59" sqref="C59"/>
    </sheetView>
  </sheetViews>
  <sheetFormatPr baseColWidth="10" defaultColWidth="14.5" defaultRowHeight="15" customHeight="1" x14ac:dyDescent="0.2"/>
  <cols>
    <col min="1" max="1" width="12.6640625" customWidth="1"/>
    <col min="2" max="2" width="14.5" customWidth="1"/>
    <col min="3" max="3" width="15.5" customWidth="1"/>
    <col min="4" max="4" width="9.83203125" customWidth="1"/>
    <col min="5" max="6" width="8.83203125" customWidth="1"/>
  </cols>
  <sheetData>
    <row r="1" spans="1:4" x14ac:dyDescent="0.2">
      <c r="A1" s="1" t="s">
        <v>78</v>
      </c>
      <c r="B1" s="1" t="s">
        <v>0</v>
      </c>
      <c r="C1" s="1" t="s">
        <v>99</v>
      </c>
      <c r="D1" s="1" t="s">
        <v>100</v>
      </c>
    </row>
    <row r="2" spans="1:4" x14ac:dyDescent="0.2">
      <c r="A2" s="2">
        <v>1</v>
      </c>
      <c r="B2" s="2" t="s">
        <v>6</v>
      </c>
      <c r="C2" s="2" t="s">
        <v>55</v>
      </c>
      <c r="D2" s="2">
        <v>1</v>
      </c>
    </row>
    <row r="3" spans="1:4" x14ac:dyDescent="0.2">
      <c r="A3" s="2">
        <v>2</v>
      </c>
      <c r="B3" s="2" t="s">
        <v>12</v>
      </c>
      <c r="C3" s="2" t="s">
        <v>72</v>
      </c>
      <c r="D3" s="2">
        <v>1</v>
      </c>
    </row>
    <row r="4" spans="1:4" x14ac:dyDescent="0.2">
      <c r="A4" s="2">
        <v>3</v>
      </c>
      <c r="B4" s="2" t="s">
        <v>17</v>
      </c>
      <c r="C4" s="2" t="s">
        <v>59</v>
      </c>
      <c r="D4" s="2">
        <v>1</v>
      </c>
    </row>
    <row r="5" spans="1:4" x14ac:dyDescent="0.2">
      <c r="A5" s="15">
        <v>4</v>
      </c>
      <c r="B5" s="2" t="s">
        <v>21</v>
      </c>
      <c r="C5" s="2" t="s">
        <v>6</v>
      </c>
      <c r="D5" s="2">
        <v>1</v>
      </c>
    </row>
    <row r="6" spans="1:4" x14ac:dyDescent="0.2">
      <c r="A6" s="15">
        <v>4</v>
      </c>
      <c r="B6" s="2" t="s">
        <v>21</v>
      </c>
      <c r="C6" s="2" t="s">
        <v>16</v>
      </c>
      <c r="D6" s="2">
        <v>0</v>
      </c>
    </row>
    <row r="7" spans="1:4" x14ac:dyDescent="0.2">
      <c r="A7" s="15">
        <v>4</v>
      </c>
      <c r="B7" s="2" t="s">
        <v>21</v>
      </c>
      <c r="C7" s="2" t="s">
        <v>17</v>
      </c>
      <c r="D7" s="2">
        <v>0</v>
      </c>
    </row>
    <row r="8" spans="1:4" x14ac:dyDescent="0.2">
      <c r="A8" s="15">
        <v>5</v>
      </c>
      <c r="B8" s="2" t="s">
        <v>25</v>
      </c>
      <c r="C8" s="2" t="s">
        <v>12</v>
      </c>
      <c r="D8" s="2">
        <v>1</v>
      </c>
    </row>
    <row r="9" spans="1:4" x14ac:dyDescent="0.2">
      <c r="A9" s="15">
        <v>6</v>
      </c>
      <c r="B9" s="2" t="s">
        <v>25</v>
      </c>
      <c r="C9" s="2" t="s">
        <v>55</v>
      </c>
      <c r="D9" s="2">
        <v>1</v>
      </c>
    </row>
    <row r="10" spans="1:4" x14ac:dyDescent="0.2">
      <c r="A10" s="15">
        <v>7</v>
      </c>
      <c r="B10" s="2" t="s">
        <v>28</v>
      </c>
      <c r="C10" s="2" t="s">
        <v>63</v>
      </c>
      <c r="D10" s="2">
        <v>1</v>
      </c>
    </row>
    <row r="11" spans="1:4" x14ac:dyDescent="0.2">
      <c r="A11" s="15">
        <v>8</v>
      </c>
      <c r="B11" s="2" t="s">
        <v>34</v>
      </c>
      <c r="C11" s="2" t="s">
        <v>67</v>
      </c>
      <c r="D11" s="2">
        <v>1</v>
      </c>
    </row>
    <row r="12" spans="1:4" x14ac:dyDescent="0.2">
      <c r="A12" s="15">
        <v>9</v>
      </c>
      <c r="B12" s="2" t="s">
        <v>34</v>
      </c>
      <c r="C12" s="2" t="s">
        <v>6</v>
      </c>
      <c r="D12" s="2">
        <v>1</v>
      </c>
    </row>
    <row r="13" spans="1:4" x14ac:dyDescent="0.2">
      <c r="A13" s="15">
        <v>9</v>
      </c>
      <c r="B13" s="2" t="s">
        <v>34</v>
      </c>
      <c r="C13" s="2" t="s">
        <v>17</v>
      </c>
      <c r="D13" s="2">
        <v>0</v>
      </c>
    </row>
    <row r="14" spans="1:4" x14ac:dyDescent="0.2">
      <c r="A14" s="15">
        <v>9</v>
      </c>
      <c r="B14" s="2" t="s">
        <v>34</v>
      </c>
      <c r="C14" s="2" t="s">
        <v>21</v>
      </c>
      <c r="D14" s="2">
        <v>0</v>
      </c>
    </row>
    <row r="15" spans="1:4" ht="15.75" customHeight="1" x14ac:dyDescent="0.2">
      <c r="A15" s="15">
        <v>10</v>
      </c>
      <c r="B15" s="2" t="s">
        <v>34</v>
      </c>
      <c r="C15" s="2" t="s">
        <v>28</v>
      </c>
      <c r="D15" s="2">
        <v>1</v>
      </c>
    </row>
    <row r="16" spans="1:4" ht="15.75" customHeight="1" x14ac:dyDescent="0.2">
      <c r="A16" s="15">
        <v>11</v>
      </c>
      <c r="B16" s="2" t="s">
        <v>45</v>
      </c>
      <c r="C16" s="2" t="s">
        <v>34</v>
      </c>
      <c r="D16" s="2">
        <v>1</v>
      </c>
    </row>
    <row r="17" spans="1:4" ht="15.75" customHeight="1" x14ac:dyDescent="0.2">
      <c r="A17" s="15">
        <v>11</v>
      </c>
      <c r="B17" s="2" t="s">
        <v>45</v>
      </c>
      <c r="C17" s="2" t="s">
        <v>273</v>
      </c>
      <c r="D17" s="2">
        <v>0</v>
      </c>
    </row>
    <row r="18" spans="1:4" ht="15.75" customHeight="1" x14ac:dyDescent="0.2">
      <c r="A18" s="15">
        <v>11</v>
      </c>
      <c r="B18" s="2" t="s">
        <v>45</v>
      </c>
      <c r="C18" s="2" t="s">
        <v>25</v>
      </c>
      <c r="D18" s="2">
        <v>0</v>
      </c>
    </row>
    <row r="19" spans="1:4" ht="15.75" customHeight="1" x14ac:dyDescent="0.2">
      <c r="A19" s="15">
        <v>11</v>
      </c>
      <c r="B19" s="2" t="s">
        <v>45</v>
      </c>
      <c r="C19" s="2" t="s">
        <v>67</v>
      </c>
      <c r="D19" s="2">
        <v>0</v>
      </c>
    </row>
    <row r="20" spans="1:4" ht="15.75" customHeight="1" x14ac:dyDescent="0.2">
      <c r="A20" s="15">
        <v>11</v>
      </c>
      <c r="B20" s="2" t="s">
        <v>45</v>
      </c>
      <c r="C20" s="2" t="s">
        <v>28</v>
      </c>
      <c r="D20" s="2">
        <v>0</v>
      </c>
    </row>
    <row r="21" spans="1:4" ht="15.75" customHeight="1" x14ac:dyDescent="0.2">
      <c r="A21" s="15">
        <v>13</v>
      </c>
      <c r="B21" s="2" t="s">
        <v>59</v>
      </c>
      <c r="C21" s="2" t="s">
        <v>55</v>
      </c>
      <c r="D21" s="2">
        <v>1</v>
      </c>
    </row>
    <row r="22" spans="1:4" ht="15.75" customHeight="1" x14ac:dyDescent="0.2">
      <c r="A22" s="15">
        <v>14</v>
      </c>
      <c r="B22" s="2" t="s">
        <v>63</v>
      </c>
      <c r="C22" s="2" t="s">
        <v>59</v>
      </c>
      <c r="D22" s="2">
        <v>1</v>
      </c>
    </row>
    <row r="23" spans="1:4" ht="15.75" customHeight="1" x14ac:dyDescent="0.2">
      <c r="A23" s="15">
        <v>15</v>
      </c>
      <c r="B23" s="2" t="s">
        <v>269</v>
      </c>
      <c r="C23" s="2" t="s">
        <v>59</v>
      </c>
      <c r="D23" s="2">
        <v>1</v>
      </c>
    </row>
    <row r="24" spans="1:4" ht="15.75" customHeight="1" x14ac:dyDescent="0.2">
      <c r="A24" s="15">
        <v>16</v>
      </c>
      <c r="B24" s="2" t="s">
        <v>269</v>
      </c>
      <c r="C24" s="2" t="s">
        <v>293</v>
      </c>
      <c r="D24" s="2">
        <v>1</v>
      </c>
    </row>
    <row r="25" spans="1:4" ht="15.75" customHeight="1" x14ac:dyDescent="0.2">
      <c r="A25" s="15">
        <v>17</v>
      </c>
      <c r="B25" s="2" t="s">
        <v>269</v>
      </c>
      <c r="C25" s="2" t="s">
        <v>67</v>
      </c>
      <c r="D25" s="2">
        <v>1</v>
      </c>
    </row>
    <row r="26" spans="1:4" ht="15.75" customHeight="1" x14ac:dyDescent="0.2">
      <c r="A26" s="15">
        <v>18</v>
      </c>
      <c r="B26" s="2" t="s">
        <v>293</v>
      </c>
      <c r="C26" s="2" t="s">
        <v>59</v>
      </c>
      <c r="D26" s="2">
        <v>1</v>
      </c>
    </row>
    <row r="27" spans="1:4" ht="15.75" customHeight="1" x14ac:dyDescent="0.2">
      <c r="A27" s="15">
        <v>19</v>
      </c>
      <c r="B27" s="2" t="s">
        <v>293</v>
      </c>
      <c r="C27" s="2" t="s">
        <v>67</v>
      </c>
      <c r="D27" s="2">
        <v>1</v>
      </c>
    </row>
    <row r="28" spans="1:4" ht="15.75" customHeight="1" x14ac:dyDescent="0.2">
      <c r="A28" s="15">
        <v>20</v>
      </c>
      <c r="B28" s="2" t="s">
        <v>293</v>
      </c>
      <c r="C28" s="2" t="s">
        <v>63</v>
      </c>
      <c r="D28" s="2">
        <v>1</v>
      </c>
    </row>
    <row r="29" spans="1:4" ht="15.75" customHeight="1" x14ac:dyDescent="0.2">
      <c r="A29" s="15">
        <v>21</v>
      </c>
      <c r="B29" s="2" t="s">
        <v>67</v>
      </c>
      <c r="C29" s="2" t="s">
        <v>55</v>
      </c>
      <c r="D29" s="2">
        <v>1</v>
      </c>
    </row>
    <row r="30" spans="1:4" ht="15.75" customHeight="1" x14ac:dyDescent="0.2">
      <c r="A30" s="15">
        <v>23</v>
      </c>
      <c r="B30" s="2" t="s">
        <v>75</v>
      </c>
      <c r="C30" s="2" t="s">
        <v>72</v>
      </c>
      <c r="D30" s="2">
        <v>1</v>
      </c>
    </row>
    <row r="31" spans="1:4" ht="15.75" customHeight="1" x14ac:dyDescent="0.2">
      <c r="A31" s="15">
        <v>24</v>
      </c>
      <c r="B31" s="2" t="s">
        <v>240</v>
      </c>
      <c r="C31" s="2" t="s">
        <v>55</v>
      </c>
      <c r="D31" s="2">
        <v>1</v>
      </c>
    </row>
    <row r="32" spans="1:4" ht="15.75" customHeight="1" x14ac:dyDescent="0.2">
      <c r="A32" s="15">
        <v>25</v>
      </c>
      <c r="B32" s="2" t="s">
        <v>240</v>
      </c>
      <c r="C32" s="2" t="s">
        <v>72</v>
      </c>
      <c r="D32" s="2">
        <v>1</v>
      </c>
    </row>
    <row r="33" spans="1:5" ht="15.75" customHeight="1" x14ac:dyDescent="0.2">
      <c r="A33" s="15">
        <v>26</v>
      </c>
      <c r="B33" s="2" t="s">
        <v>240</v>
      </c>
      <c r="C33" s="2" t="s">
        <v>265</v>
      </c>
      <c r="D33" s="2">
        <v>1</v>
      </c>
      <c r="E33" s="13"/>
    </row>
    <row r="34" spans="1:5" ht="15.75" customHeight="1" x14ac:dyDescent="0.2">
      <c r="A34" s="15">
        <v>26</v>
      </c>
      <c r="B34" s="2" t="s">
        <v>240</v>
      </c>
      <c r="C34" s="2" t="s">
        <v>266</v>
      </c>
      <c r="D34" s="2">
        <v>0</v>
      </c>
    </row>
    <row r="35" spans="1:5" ht="15.75" customHeight="1" x14ac:dyDescent="0.2">
      <c r="A35" s="15">
        <v>27</v>
      </c>
      <c r="B35" s="2" t="s">
        <v>244</v>
      </c>
      <c r="C35" s="2" t="s">
        <v>240</v>
      </c>
      <c r="D35" s="2">
        <v>1</v>
      </c>
    </row>
    <row r="36" spans="1:5" ht="15.75" customHeight="1" x14ac:dyDescent="0.2">
      <c r="A36" s="15">
        <v>27</v>
      </c>
      <c r="B36" s="2" t="s">
        <v>244</v>
      </c>
      <c r="C36" s="2" t="s">
        <v>267</v>
      </c>
      <c r="D36" s="2">
        <v>0</v>
      </c>
    </row>
    <row r="37" spans="1:5" ht="15.75" customHeight="1" x14ac:dyDescent="0.2">
      <c r="A37">
        <v>27</v>
      </c>
      <c r="B37" s="2" t="s">
        <v>244</v>
      </c>
      <c r="C37" s="2" t="s">
        <v>266</v>
      </c>
      <c r="D37" s="2">
        <v>0</v>
      </c>
    </row>
    <row r="38" spans="1:5" ht="15.75" customHeight="1" x14ac:dyDescent="0.2">
      <c r="A38">
        <v>28</v>
      </c>
      <c r="B38" s="2" t="s">
        <v>246</v>
      </c>
      <c r="C38" s="2" t="s">
        <v>72</v>
      </c>
      <c r="D38" s="2">
        <v>1</v>
      </c>
    </row>
    <row r="39" spans="1:5" ht="15.75" customHeight="1" x14ac:dyDescent="0.2">
      <c r="A39">
        <v>29</v>
      </c>
      <c r="B39" s="2" t="s">
        <v>246</v>
      </c>
      <c r="C39" s="2" t="s">
        <v>266</v>
      </c>
      <c r="D39" s="2">
        <v>1</v>
      </c>
    </row>
    <row r="40" spans="1:5" ht="15.75" customHeight="1" x14ac:dyDescent="0.2">
      <c r="A40">
        <v>29</v>
      </c>
      <c r="B40" s="2" t="s">
        <v>246</v>
      </c>
      <c r="C40" s="2" t="s">
        <v>268</v>
      </c>
      <c r="D40" s="2">
        <v>1</v>
      </c>
    </row>
    <row r="41" spans="1:5" ht="15.75" customHeight="1" x14ac:dyDescent="0.2">
      <c r="A41">
        <v>29</v>
      </c>
      <c r="B41" s="2" t="s">
        <v>246</v>
      </c>
      <c r="C41" s="2" t="s">
        <v>269</v>
      </c>
      <c r="D41" s="2">
        <v>0</v>
      </c>
    </row>
    <row r="42" spans="1:5" ht="15.75" customHeight="1" x14ac:dyDescent="0.2">
      <c r="A42">
        <v>29</v>
      </c>
      <c r="B42" s="2" t="s">
        <v>246</v>
      </c>
      <c r="C42" s="2" t="s">
        <v>270</v>
      </c>
      <c r="D42" s="2">
        <v>0</v>
      </c>
    </row>
    <row r="43" spans="1:5" ht="15.75" customHeight="1" x14ac:dyDescent="0.2">
      <c r="A43">
        <v>29</v>
      </c>
      <c r="B43" s="2" t="s">
        <v>246</v>
      </c>
      <c r="C43" s="2" t="s">
        <v>271</v>
      </c>
      <c r="D43" s="2">
        <v>0</v>
      </c>
    </row>
    <row r="44" spans="1:5" ht="15.75" customHeight="1" x14ac:dyDescent="0.2">
      <c r="A44">
        <v>30</v>
      </c>
      <c r="B44" s="2" t="s">
        <v>247</v>
      </c>
      <c r="C44" s="2" t="s">
        <v>12</v>
      </c>
      <c r="D44" s="2">
        <v>1</v>
      </c>
    </row>
    <row r="45" spans="1:5" ht="15.75" customHeight="1" x14ac:dyDescent="0.2">
      <c r="A45">
        <v>31</v>
      </c>
      <c r="B45" s="2" t="s">
        <v>247</v>
      </c>
      <c r="C45" s="2" t="s">
        <v>266</v>
      </c>
      <c r="D45" s="2">
        <v>1</v>
      </c>
    </row>
    <row r="46" spans="1:5" ht="15.75" customHeight="1" x14ac:dyDescent="0.2">
      <c r="A46">
        <v>31</v>
      </c>
      <c r="B46" s="2" t="s">
        <v>247</v>
      </c>
      <c r="C46" s="2" t="s">
        <v>268</v>
      </c>
      <c r="D46">
        <v>1</v>
      </c>
    </row>
    <row r="47" spans="1:5" ht="15.75" customHeight="1" x14ac:dyDescent="0.2">
      <c r="A47">
        <v>31</v>
      </c>
      <c r="B47" s="2" t="s">
        <v>247</v>
      </c>
      <c r="C47" s="2" t="s">
        <v>244</v>
      </c>
      <c r="D47">
        <v>1</v>
      </c>
    </row>
    <row r="48" spans="1:5" ht="15.75" customHeight="1" x14ac:dyDescent="0.2">
      <c r="A48">
        <v>32</v>
      </c>
      <c r="B48" s="2" t="s">
        <v>248</v>
      </c>
      <c r="C48" s="2" t="s">
        <v>272</v>
      </c>
      <c r="D48">
        <v>1</v>
      </c>
    </row>
    <row r="49" spans="1:4" ht="15.75" customHeight="1" x14ac:dyDescent="0.2">
      <c r="A49">
        <v>32</v>
      </c>
      <c r="B49" s="2" t="s">
        <v>248</v>
      </c>
      <c r="C49" s="2" t="s">
        <v>273</v>
      </c>
      <c r="D49">
        <v>1</v>
      </c>
    </row>
    <row r="50" spans="1:4" ht="15.75" customHeight="1" x14ac:dyDescent="0.2">
      <c r="A50">
        <v>32</v>
      </c>
      <c r="B50" s="2" t="s">
        <v>248</v>
      </c>
      <c r="C50" s="2" t="s">
        <v>25</v>
      </c>
      <c r="D50">
        <v>1</v>
      </c>
    </row>
    <row r="51" spans="1:4" ht="15.75" customHeight="1" x14ac:dyDescent="0.2">
      <c r="A51">
        <v>32</v>
      </c>
      <c r="B51" s="2" t="s">
        <v>248</v>
      </c>
      <c r="C51" s="2" t="s">
        <v>45</v>
      </c>
      <c r="D51">
        <v>1</v>
      </c>
    </row>
    <row r="52" spans="1:4" ht="15.75" customHeight="1" x14ac:dyDescent="0.2">
      <c r="A52">
        <v>33</v>
      </c>
      <c r="B52" s="2" t="s">
        <v>270</v>
      </c>
      <c r="C52" s="2" t="s">
        <v>265</v>
      </c>
      <c r="D52">
        <v>1</v>
      </c>
    </row>
    <row r="53" spans="1:4" ht="15.75" customHeight="1" x14ac:dyDescent="0.2">
      <c r="A53">
        <v>35</v>
      </c>
      <c r="B53" s="2" t="s">
        <v>267</v>
      </c>
      <c r="C53" s="2" t="s">
        <v>270</v>
      </c>
      <c r="D53">
        <v>1</v>
      </c>
    </row>
    <row r="54" spans="1:4" ht="15.75" customHeight="1" x14ac:dyDescent="0.2">
      <c r="A54">
        <v>35</v>
      </c>
      <c r="B54" s="2" t="s">
        <v>267</v>
      </c>
      <c r="C54" s="2" t="s">
        <v>271</v>
      </c>
      <c r="D54">
        <v>1</v>
      </c>
    </row>
    <row r="55" spans="1:4" ht="15.75" customHeight="1" x14ac:dyDescent="0.2">
      <c r="A55">
        <v>36</v>
      </c>
      <c r="B55" s="2" t="s">
        <v>266</v>
      </c>
      <c r="C55" s="2" t="s">
        <v>265</v>
      </c>
      <c r="D55">
        <v>1</v>
      </c>
    </row>
    <row r="56" spans="1:4" ht="15.75" customHeight="1" x14ac:dyDescent="0.2">
      <c r="A56">
        <v>36</v>
      </c>
      <c r="B56" s="2" t="s">
        <v>266</v>
      </c>
      <c r="C56" s="2" t="s">
        <v>271</v>
      </c>
      <c r="D56">
        <v>1</v>
      </c>
    </row>
    <row r="57" spans="1:4" ht="15.75" customHeight="1" x14ac:dyDescent="0.2">
      <c r="A57">
        <v>37</v>
      </c>
      <c r="B57" s="2" t="s">
        <v>268</v>
      </c>
      <c r="C57" s="2" t="s">
        <v>270</v>
      </c>
      <c r="D57">
        <v>1</v>
      </c>
    </row>
    <row r="58" spans="1:4" ht="15.75" customHeight="1" x14ac:dyDescent="0.2">
      <c r="A58">
        <v>37</v>
      </c>
      <c r="B58" s="2" t="s">
        <v>268</v>
      </c>
      <c r="C58" s="2" t="s">
        <v>271</v>
      </c>
      <c r="D58">
        <v>1</v>
      </c>
    </row>
    <row r="59" spans="1:4" ht="15.75" customHeight="1" x14ac:dyDescent="0.2">
      <c r="A59">
        <v>38</v>
      </c>
      <c r="B59" s="2" t="s">
        <v>272</v>
      </c>
      <c r="C59" s="2" t="s">
        <v>266</v>
      </c>
      <c r="D59">
        <v>1</v>
      </c>
    </row>
    <row r="60" spans="1:4" ht="15.75" customHeight="1" x14ac:dyDescent="0.2">
      <c r="A60">
        <v>38</v>
      </c>
      <c r="B60" s="2" t="s">
        <v>272</v>
      </c>
      <c r="C60" s="2" t="s">
        <v>268</v>
      </c>
      <c r="D60">
        <v>1</v>
      </c>
    </row>
    <row r="61" spans="1:4" ht="15.75" customHeight="1" x14ac:dyDescent="0.2">
      <c r="A61">
        <v>38</v>
      </c>
      <c r="B61" s="2" t="s">
        <v>272</v>
      </c>
      <c r="C61" s="2" t="s">
        <v>244</v>
      </c>
      <c r="D61">
        <v>1</v>
      </c>
    </row>
    <row r="62" spans="1:4" ht="15.75" customHeight="1" x14ac:dyDescent="0.2">
      <c r="A62">
        <v>38</v>
      </c>
      <c r="B62" s="2" t="s">
        <v>272</v>
      </c>
      <c r="C62" s="2" t="s">
        <v>269</v>
      </c>
      <c r="D62">
        <v>0</v>
      </c>
    </row>
    <row r="63" spans="1:4" ht="15.75" customHeight="1" x14ac:dyDescent="0.2">
      <c r="A63">
        <v>38</v>
      </c>
      <c r="B63" s="2" t="s">
        <v>272</v>
      </c>
      <c r="C63" s="2" t="s">
        <v>270</v>
      </c>
      <c r="D63">
        <v>0</v>
      </c>
    </row>
    <row r="64" spans="1:4" ht="15.75" customHeight="1" x14ac:dyDescent="0.2">
      <c r="A64">
        <v>38</v>
      </c>
      <c r="B64" s="2" t="s">
        <v>272</v>
      </c>
      <c r="C64" s="2" t="s">
        <v>271</v>
      </c>
      <c r="D64">
        <v>0</v>
      </c>
    </row>
    <row r="65" spans="1:4" ht="15.75" customHeight="1" x14ac:dyDescent="0.2">
      <c r="A65">
        <v>39</v>
      </c>
      <c r="B65" s="2" t="s">
        <v>273</v>
      </c>
      <c r="C65" s="2" t="s">
        <v>308</v>
      </c>
      <c r="D65">
        <v>1</v>
      </c>
    </row>
    <row r="66" spans="1:4" ht="15.75" customHeight="1" x14ac:dyDescent="0.2">
      <c r="A66">
        <v>39</v>
      </c>
      <c r="B66" s="2" t="s">
        <v>273</v>
      </c>
      <c r="C66" s="2" t="s">
        <v>244</v>
      </c>
      <c r="D66">
        <v>1</v>
      </c>
    </row>
    <row r="67" spans="1:4" ht="15.75" customHeight="1" x14ac:dyDescent="0.2">
      <c r="A67">
        <v>40</v>
      </c>
      <c r="B67" s="2" t="s">
        <v>273</v>
      </c>
      <c r="C67" s="2" t="s">
        <v>67</v>
      </c>
      <c r="D67">
        <v>1</v>
      </c>
    </row>
    <row r="68" spans="1:4" ht="15.75" customHeight="1" x14ac:dyDescent="0.2">
      <c r="A68">
        <v>41</v>
      </c>
      <c r="B68" s="2" t="s">
        <v>273</v>
      </c>
      <c r="C68" s="2" t="s">
        <v>63</v>
      </c>
      <c r="D68">
        <v>1</v>
      </c>
    </row>
    <row r="69" spans="1:4" ht="15.75" customHeight="1" x14ac:dyDescent="0.2">
      <c r="A69">
        <v>42</v>
      </c>
      <c r="B69" s="2" t="s">
        <v>273</v>
      </c>
      <c r="C69" s="2" t="s">
        <v>17</v>
      </c>
      <c r="D69">
        <v>1</v>
      </c>
    </row>
    <row r="70" spans="1:4" ht="15.75" customHeight="1" x14ac:dyDescent="0.2">
      <c r="A70">
        <v>42</v>
      </c>
      <c r="B70" s="2" t="s">
        <v>273</v>
      </c>
      <c r="C70" s="2" t="s">
        <v>28</v>
      </c>
      <c r="D70">
        <v>1</v>
      </c>
    </row>
    <row r="71" spans="1:4" ht="15.75" customHeight="1" x14ac:dyDescent="0.2"/>
    <row r="72" spans="1:4" ht="15.75" customHeight="1" x14ac:dyDescent="0.2"/>
    <row r="73" spans="1:4" ht="15.75" customHeight="1" x14ac:dyDescent="0.2"/>
    <row r="74" spans="1:4" ht="15.75" customHeight="1" x14ac:dyDescent="0.2"/>
    <row r="75" spans="1:4" ht="15.75" customHeight="1" x14ac:dyDescent="0.2"/>
    <row r="76" spans="1:4" ht="15.75" customHeight="1" x14ac:dyDescent="0.2"/>
    <row r="77" spans="1:4" ht="15.75" customHeight="1" x14ac:dyDescent="0.2"/>
    <row r="78" spans="1:4" ht="15.75" customHeight="1" x14ac:dyDescent="0.2"/>
    <row r="79" spans="1:4" ht="15.75" customHeight="1" x14ac:dyDescent="0.2"/>
    <row r="80" spans="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5" defaultRowHeight="15" customHeight="1" x14ac:dyDescent="0.2"/>
  <cols>
    <col min="1" max="1" width="12.5" customWidth="1"/>
    <col min="2" max="2" width="175" customWidth="1"/>
    <col min="3" max="6" width="8.83203125" customWidth="1"/>
  </cols>
  <sheetData>
    <row r="1" spans="1:2" x14ac:dyDescent="0.2">
      <c r="A1" s="1" t="s">
        <v>101</v>
      </c>
      <c r="B1" s="1" t="s">
        <v>3</v>
      </c>
    </row>
    <row r="2" spans="1:2" x14ac:dyDescent="0.2">
      <c r="A2" s="5">
        <v>1</v>
      </c>
      <c r="B2" s="5" t="s">
        <v>102</v>
      </c>
    </row>
    <row r="3" spans="1:2" x14ac:dyDescent="0.2">
      <c r="A3" s="5">
        <v>2</v>
      </c>
      <c r="B3" s="5" t="s">
        <v>103</v>
      </c>
    </row>
    <row r="4" spans="1:2" x14ac:dyDescent="0.2">
      <c r="A4" s="5">
        <v>3</v>
      </c>
      <c r="B4" s="5" t="s">
        <v>104</v>
      </c>
    </row>
    <row r="5" spans="1:2" x14ac:dyDescent="0.2">
      <c r="A5" s="5">
        <v>4</v>
      </c>
      <c r="B5" s="5" t="s">
        <v>105</v>
      </c>
    </row>
    <row r="6" spans="1:2" x14ac:dyDescent="0.2">
      <c r="A6" s="5">
        <v>5</v>
      </c>
      <c r="B6" s="5" t="s">
        <v>106</v>
      </c>
    </row>
    <row r="7" spans="1:2" x14ac:dyDescent="0.2">
      <c r="A7" s="5">
        <v>6</v>
      </c>
      <c r="B7" s="5" t="s">
        <v>107</v>
      </c>
    </row>
    <row r="8" spans="1:2" x14ac:dyDescent="0.2">
      <c r="A8" s="5">
        <v>7</v>
      </c>
      <c r="B8" s="5" t="s">
        <v>108</v>
      </c>
    </row>
    <row r="9" spans="1:2" x14ac:dyDescent="0.2">
      <c r="A9" s="5">
        <v>8</v>
      </c>
      <c r="B9" s="5" t="s">
        <v>109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5" defaultRowHeight="15" customHeight="1" x14ac:dyDescent="0.2"/>
  <cols>
    <col min="1" max="1" width="11.6640625" customWidth="1"/>
    <col min="2" max="2" width="10.1640625" customWidth="1"/>
    <col min="3" max="6" width="8.83203125" customWidth="1"/>
  </cols>
  <sheetData>
    <row r="1" spans="1:2" x14ac:dyDescent="0.2">
      <c r="A1" s="1" t="s">
        <v>101</v>
      </c>
      <c r="B1" s="1" t="s">
        <v>0</v>
      </c>
    </row>
    <row r="2" spans="1:2" x14ac:dyDescent="0.2">
      <c r="A2" s="5">
        <v>1</v>
      </c>
      <c r="B2" s="5">
        <v>200</v>
      </c>
    </row>
    <row r="3" spans="1:2" x14ac:dyDescent="0.2">
      <c r="A3" s="5">
        <v>1</v>
      </c>
      <c r="B3" s="5">
        <v>203</v>
      </c>
    </row>
    <row r="4" spans="1:2" x14ac:dyDescent="0.2">
      <c r="A4" s="5">
        <v>2</v>
      </c>
      <c r="B4" s="5">
        <v>251</v>
      </c>
    </row>
    <row r="5" spans="1:2" x14ac:dyDescent="0.2">
      <c r="A5" s="5">
        <v>3</v>
      </c>
      <c r="B5" s="5">
        <v>300</v>
      </c>
    </row>
    <row r="6" spans="1:2" x14ac:dyDescent="0.2">
      <c r="A6" s="5">
        <v>4</v>
      </c>
      <c r="B6" s="5">
        <v>302</v>
      </c>
    </row>
    <row r="7" spans="1:2" x14ac:dyDescent="0.2">
      <c r="A7" s="5">
        <v>5</v>
      </c>
      <c r="B7" s="5">
        <v>306</v>
      </c>
    </row>
    <row r="8" spans="1:2" x14ac:dyDescent="0.2">
      <c r="A8" s="5">
        <v>6</v>
      </c>
      <c r="B8" s="5">
        <v>321</v>
      </c>
    </row>
    <row r="9" spans="1:2" x14ac:dyDescent="0.2">
      <c r="A9" s="5">
        <v>7</v>
      </c>
      <c r="B9" s="5">
        <v>335</v>
      </c>
    </row>
    <row r="10" spans="1:2" x14ac:dyDescent="0.2">
      <c r="A10" s="5">
        <v>8</v>
      </c>
      <c r="B10" s="5">
        <v>404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000"/>
  <sheetViews>
    <sheetView workbookViewId="0">
      <selection activeCell="D24" sqref="D24"/>
    </sheetView>
  </sheetViews>
  <sheetFormatPr baseColWidth="10" defaultColWidth="14.5" defaultRowHeight="15" customHeight="1" x14ac:dyDescent="0.2"/>
  <cols>
    <col min="1" max="2" width="14" customWidth="1"/>
    <col min="3" max="3" width="17.33203125" customWidth="1"/>
    <col min="4" max="6" width="10.6640625" customWidth="1"/>
  </cols>
  <sheetData>
    <row r="1" spans="1:3" x14ac:dyDescent="0.2">
      <c r="A1" s="5" t="s">
        <v>132</v>
      </c>
      <c r="B1" s="5" t="s">
        <v>0</v>
      </c>
      <c r="C1" s="5" t="s">
        <v>133</v>
      </c>
    </row>
    <row r="2" spans="1:3" x14ac:dyDescent="0.2">
      <c r="A2" s="2">
        <v>1</v>
      </c>
      <c r="B2" s="5" t="s">
        <v>55</v>
      </c>
      <c r="C2" s="5" t="s">
        <v>134</v>
      </c>
    </row>
    <row r="3" spans="1:3" x14ac:dyDescent="0.2">
      <c r="A3" s="2">
        <v>2</v>
      </c>
      <c r="B3" s="5" t="s">
        <v>55</v>
      </c>
      <c r="C3" s="5" t="s">
        <v>135</v>
      </c>
    </row>
    <row r="4" spans="1:3" x14ac:dyDescent="0.2">
      <c r="A4" s="2">
        <v>3</v>
      </c>
      <c r="B4" s="5" t="s">
        <v>55</v>
      </c>
      <c r="C4" s="5" t="s">
        <v>136</v>
      </c>
    </row>
    <row r="5" spans="1:3" x14ac:dyDescent="0.2">
      <c r="A5" s="2">
        <v>4</v>
      </c>
      <c r="B5" s="5" t="s">
        <v>55</v>
      </c>
      <c r="C5" s="5" t="s">
        <v>137</v>
      </c>
    </row>
    <row r="6" spans="1:3" x14ac:dyDescent="0.2">
      <c r="A6" s="2">
        <v>5</v>
      </c>
      <c r="B6" s="5" t="s">
        <v>55</v>
      </c>
      <c r="C6" s="5" t="s">
        <v>138</v>
      </c>
    </row>
    <row r="7" spans="1:3" x14ac:dyDescent="0.2">
      <c r="A7" s="2">
        <v>6</v>
      </c>
      <c r="B7" s="5" t="s">
        <v>55</v>
      </c>
      <c r="C7" s="5" t="s">
        <v>139</v>
      </c>
    </row>
    <row r="8" spans="1:3" x14ac:dyDescent="0.2">
      <c r="A8" s="2">
        <v>7</v>
      </c>
      <c r="B8" s="5" t="s">
        <v>59</v>
      </c>
      <c r="C8" s="5" t="s">
        <v>140</v>
      </c>
    </row>
    <row r="9" spans="1:3" x14ac:dyDescent="0.2">
      <c r="A9" s="2">
        <v>8</v>
      </c>
      <c r="B9" s="5" t="s">
        <v>59</v>
      </c>
      <c r="C9" s="5" t="s">
        <v>141</v>
      </c>
    </row>
    <row r="10" spans="1:3" x14ac:dyDescent="0.2">
      <c r="A10" s="2">
        <v>9</v>
      </c>
      <c r="B10" s="5" t="s">
        <v>59</v>
      </c>
      <c r="C10" s="5" t="s">
        <v>142</v>
      </c>
    </row>
    <row r="11" spans="1:3" x14ac:dyDescent="0.2">
      <c r="A11" s="2">
        <v>10</v>
      </c>
      <c r="B11" s="5" t="s">
        <v>67</v>
      </c>
      <c r="C11" s="5" t="s">
        <v>143</v>
      </c>
    </row>
    <row r="12" spans="1:3" x14ac:dyDescent="0.2">
      <c r="A12" s="2">
        <v>11</v>
      </c>
      <c r="B12" s="5" t="s">
        <v>67</v>
      </c>
      <c r="C12" s="5" t="s">
        <v>144</v>
      </c>
    </row>
    <row r="13" spans="1:3" x14ac:dyDescent="0.2">
      <c r="A13" s="2">
        <v>12</v>
      </c>
      <c r="B13" s="5" t="s">
        <v>28</v>
      </c>
      <c r="C13" s="5" t="s">
        <v>145</v>
      </c>
    </row>
    <row r="14" spans="1:3" x14ac:dyDescent="0.2">
      <c r="A14" s="2">
        <v>13</v>
      </c>
      <c r="B14" s="5" t="s">
        <v>63</v>
      </c>
      <c r="C14" s="5" t="s">
        <v>146</v>
      </c>
    </row>
    <row r="15" spans="1:3" x14ac:dyDescent="0.2">
      <c r="A15" s="2">
        <v>14</v>
      </c>
      <c r="B15" s="5" t="s">
        <v>63</v>
      </c>
      <c r="C15" s="5" t="s">
        <v>147</v>
      </c>
    </row>
    <row r="16" spans="1:3" x14ac:dyDescent="0.2">
      <c r="A16" s="2">
        <v>15</v>
      </c>
      <c r="B16" s="5" t="s">
        <v>63</v>
      </c>
      <c r="C16" s="5" t="s">
        <v>148</v>
      </c>
    </row>
    <row r="17" spans="1:3" x14ac:dyDescent="0.2">
      <c r="A17" s="2">
        <v>16</v>
      </c>
      <c r="B17" s="5" t="s">
        <v>63</v>
      </c>
      <c r="C17" s="5" t="s">
        <v>149</v>
      </c>
    </row>
    <row r="18" spans="1:3" ht="15" customHeight="1" x14ac:dyDescent="0.2">
      <c r="A18" s="2">
        <v>17</v>
      </c>
      <c r="B18" s="2" t="s">
        <v>293</v>
      </c>
      <c r="C18" s="13" t="s">
        <v>312</v>
      </c>
    </row>
    <row r="19" spans="1:3" ht="15" customHeight="1" x14ac:dyDescent="0.2">
      <c r="A19" s="2">
        <v>18</v>
      </c>
      <c r="B19" s="2" t="s">
        <v>293</v>
      </c>
      <c r="C19" s="13" t="s">
        <v>313</v>
      </c>
    </row>
    <row r="20" spans="1:3" ht="15" customHeight="1" x14ac:dyDescent="0.2">
      <c r="A20" s="2">
        <v>19</v>
      </c>
      <c r="B20" s="2" t="s">
        <v>293</v>
      </c>
      <c r="C20" s="13" t="s">
        <v>314</v>
      </c>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workbookViewId="0"/>
  </sheetViews>
  <sheetFormatPr baseColWidth="10" defaultColWidth="14.5" defaultRowHeight="15" customHeight="1" x14ac:dyDescent="0.2"/>
  <cols>
    <col min="1" max="1" width="10.6640625" customWidth="1"/>
    <col min="2" max="2" width="15" customWidth="1"/>
    <col min="3" max="4" width="75.83203125" customWidth="1"/>
    <col min="5" max="6" width="10.6640625" customWidth="1"/>
  </cols>
  <sheetData>
    <row r="1" spans="1:24" x14ac:dyDescent="0.2">
      <c r="A1" s="1" t="s">
        <v>110</v>
      </c>
      <c r="B1" s="1" t="s">
        <v>111</v>
      </c>
      <c r="C1" s="1" t="s">
        <v>112</v>
      </c>
      <c r="D1" s="5"/>
      <c r="E1" s="5"/>
      <c r="F1" s="5"/>
      <c r="G1" s="5"/>
      <c r="H1" s="5"/>
      <c r="I1" s="5"/>
      <c r="J1" s="5"/>
      <c r="K1" s="5"/>
      <c r="L1" s="5"/>
      <c r="M1" s="5"/>
      <c r="N1" s="5"/>
      <c r="O1" s="5"/>
      <c r="P1" s="5"/>
      <c r="Q1" s="5"/>
      <c r="R1" s="5"/>
      <c r="S1" s="5"/>
      <c r="T1" s="5"/>
      <c r="U1" s="5"/>
      <c r="V1" s="5"/>
      <c r="W1" s="5"/>
      <c r="X1" s="5"/>
    </row>
    <row r="2" spans="1:24" x14ac:dyDescent="0.2">
      <c r="A2" s="6">
        <v>1</v>
      </c>
      <c r="B2" s="5" t="s">
        <v>113</v>
      </c>
      <c r="C2" s="5" t="s">
        <v>114</v>
      </c>
      <c r="D2" s="5"/>
      <c r="E2" s="5"/>
      <c r="F2" s="5"/>
      <c r="G2" s="5"/>
      <c r="H2" s="5"/>
      <c r="I2" s="5"/>
      <c r="J2" s="5"/>
      <c r="K2" s="5"/>
      <c r="L2" s="5"/>
      <c r="M2" s="5"/>
      <c r="N2" s="5"/>
      <c r="O2" s="5"/>
      <c r="P2" s="5"/>
      <c r="Q2" s="5"/>
      <c r="R2" s="5"/>
      <c r="S2" s="5"/>
      <c r="T2" s="5"/>
      <c r="U2" s="5"/>
      <c r="V2" s="5"/>
      <c r="W2" s="5"/>
      <c r="X2" s="5"/>
    </row>
    <row r="3" spans="1:24" x14ac:dyDescent="0.2">
      <c r="A3" s="6">
        <v>2</v>
      </c>
      <c r="B3" s="5" t="s">
        <v>115</v>
      </c>
      <c r="C3" s="5" t="s">
        <v>116</v>
      </c>
      <c r="D3" s="5"/>
      <c r="E3" s="5"/>
      <c r="F3" s="5"/>
      <c r="G3" s="5"/>
      <c r="H3" s="5"/>
      <c r="I3" s="5"/>
      <c r="J3" s="5"/>
      <c r="K3" s="5"/>
      <c r="L3" s="5"/>
      <c r="M3" s="5"/>
      <c r="N3" s="5"/>
      <c r="O3" s="5"/>
      <c r="P3" s="5"/>
      <c r="Q3" s="5"/>
      <c r="R3" s="5"/>
      <c r="S3" s="5"/>
      <c r="T3" s="5"/>
      <c r="U3" s="5"/>
      <c r="V3" s="5"/>
      <c r="W3" s="5"/>
      <c r="X3" s="5"/>
    </row>
    <row r="4" spans="1:24" x14ac:dyDescent="0.2">
      <c r="A4" s="6">
        <v>3</v>
      </c>
      <c r="B4" s="5" t="s">
        <v>117</v>
      </c>
      <c r="C4" s="5" t="s">
        <v>118</v>
      </c>
      <c r="D4" s="5"/>
      <c r="E4" s="5"/>
      <c r="F4" s="5"/>
      <c r="G4" s="5"/>
      <c r="H4" s="5"/>
      <c r="I4" s="5"/>
      <c r="J4" s="5"/>
      <c r="K4" s="5"/>
      <c r="L4" s="5"/>
      <c r="M4" s="5"/>
      <c r="N4" s="5"/>
      <c r="O4" s="5"/>
      <c r="P4" s="5"/>
      <c r="Q4" s="5"/>
      <c r="R4" s="5"/>
      <c r="S4" s="5"/>
      <c r="T4" s="5"/>
      <c r="U4" s="5"/>
      <c r="V4" s="5"/>
      <c r="W4" s="5"/>
      <c r="X4" s="5"/>
    </row>
    <row r="5" spans="1:24" x14ac:dyDescent="0.2">
      <c r="A5" s="6">
        <v>4</v>
      </c>
      <c r="B5" s="5" t="s">
        <v>119</v>
      </c>
      <c r="C5" s="5" t="s">
        <v>120</v>
      </c>
      <c r="D5" s="5"/>
      <c r="E5" s="5"/>
      <c r="F5" s="5"/>
      <c r="G5" s="5"/>
      <c r="H5" s="5"/>
      <c r="I5" s="5"/>
      <c r="J5" s="5"/>
      <c r="K5" s="5"/>
      <c r="L5" s="5"/>
      <c r="M5" s="5"/>
      <c r="N5" s="5"/>
      <c r="O5" s="5"/>
      <c r="P5" s="5"/>
      <c r="Q5" s="5"/>
      <c r="R5" s="5"/>
      <c r="S5" s="5"/>
      <c r="T5" s="5"/>
      <c r="U5" s="5"/>
      <c r="V5" s="5"/>
      <c r="W5" s="5"/>
      <c r="X5" s="5"/>
    </row>
    <row r="6" spans="1:24" x14ac:dyDescent="0.2">
      <c r="A6" s="5"/>
      <c r="B6" s="5"/>
      <c r="C6" s="5"/>
      <c r="D6" s="5"/>
      <c r="E6" s="5"/>
      <c r="F6" s="5"/>
      <c r="G6" s="5"/>
      <c r="H6" s="5"/>
      <c r="I6" s="5"/>
      <c r="J6" s="5"/>
      <c r="K6" s="5"/>
      <c r="L6" s="5"/>
      <c r="M6" s="5"/>
      <c r="N6" s="5"/>
      <c r="O6" s="5"/>
      <c r="P6" s="5"/>
      <c r="Q6" s="5"/>
      <c r="R6" s="5"/>
      <c r="S6" s="5"/>
      <c r="T6" s="5"/>
      <c r="U6" s="5"/>
      <c r="V6" s="5"/>
      <c r="W6" s="5"/>
      <c r="X6" s="5"/>
    </row>
    <row r="7" spans="1:24" x14ac:dyDescent="0.2">
      <c r="A7" s="5"/>
      <c r="B7" s="5"/>
      <c r="C7" s="5"/>
      <c r="D7" s="5"/>
      <c r="E7" s="5"/>
      <c r="F7" s="5"/>
      <c r="G7" s="5"/>
      <c r="H7" s="5"/>
      <c r="I7" s="5"/>
      <c r="J7" s="5"/>
      <c r="K7" s="5"/>
      <c r="L7" s="5"/>
      <c r="M7" s="5"/>
      <c r="N7" s="5"/>
      <c r="O7" s="5"/>
      <c r="P7" s="5"/>
      <c r="Q7" s="5"/>
      <c r="R7" s="5"/>
      <c r="S7" s="5"/>
      <c r="T7" s="5"/>
      <c r="U7" s="5"/>
      <c r="V7" s="5"/>
      <c r="W7" s="5"/>
      <c r="X7" s="5"/>
    </row>
    <row r="8" spans="1:24" x14ac:dyDescent="0.2">
      <c r="A8" s="5"/>
      <c r="B8" s="5"/>
      <c r="C8" s="5"/>
      <c r="D8" s="5"/>
      <c r="E8" s="5"/>
      <c r="F8" s="5"/>
      <c r="G8" s="5"/>
      <c r="H8" s="5"/>
      <c r="I8" s="5"/>
      <c r="J8" s="5"/>
      <c r="K8" s="5"/>
      <c r="L8" s="5"/>
      <c r="M8" s="5"/>
      <c r="N8" s="5"/>
      <c r="O8" s="5"/>
      <c r="P8" s="5"/>
      <c r="Q8" s="5"/>
      <c r="R8" s="5"/>
      <c r="S8" s="5"/>
      <c r="T8" s="5"/>
      <c r="U8" s="5"/>
      <c r="V8" s="5"/>
      <c r="W8" s="5"/>
      <c r="X8" s="5"/>
    </row>
    <row r="9" spans="1:24" x14ac:dyDescent="0.2">
      <c r="A9" s="5"/>
      <c r="B9" s="5"/>
      <c r="C9" s="5"/>
      <c r="D9" s="5"/>
      <c r="E9" s="5"/>
      <c r="F9" s="5"/>
      <c r="G9" s="5"/>
      <c r="H9" s="5"/>
      <c r="I9" s="5"/>
      <c r="J9" s="5"/>
      <c r="K9" s="5"/>
      <c r="L9" s="5"/>
      <c r="M9" s="5"/>
      <c r="N9" s="5"/>
      <c r="O9" s="5"/>
      <c r="P9" s="5"/>
      <c r="Q9" s="5"/>
      <c r="R9" s="5"/>
      <c r="S9" s="5"/>
      <c r="T9" s="5"/>
      <c r="U9" s="5"/>
      <c r="V9" s="5"/>
      <c r="W9" s="5"/>
      <c r="X9" s="5"/>
    </row>
    <row r="10" spans="1:24" x14ac:dyDescent="0.2">
      <c r="A10" s="5"/>
      <c r="B10" s="5"/>
      <c r="C10" s="5"/>
      <c r="D10" s="5"/>
      <c r="E10" s="5"/>
      <c r="F10" s="5"/>
      <c r="G10" s="5"/>
      <c r="H10" s="5"/>
      <c r="I10" s="5"/>
      <c r="J10" s="5"/>
      <c r="K10" s="5"/>
      <c r="L10" s="5"/>
      <c r="M10" s="5"/>
      <c r="N10" s="5"/>
      <c r="O10" s="5"/>
      <c r="P10" s="5"/>
      <c r="Q10" s="5"/>
      <c r="R10" s="5"/>
      <c r="S10" s="5"/>
      <c r="T10" s="5"/>
      <c r="U10" s="5"/>
      <c r="V10" s="5"/>
      <c r="W10" s="5"/>
      <c r="X10" s="5"/>
    </row>
    <row r="11" spans="1:24" x14ac:dyDescent="0.2">
      <c r="A11" s="5"/>
      <c r="B11" s="5"/>
      <c r="C11" s="5"/>
      <c r="D11" s="5"/>
      <c r="E11" s="5"/>
      <c r="F11" s="5"/>
      <c r="G11" s="5"/>
      <c r="H11" s="5"/>
      <c r="I11" s="5"/>
      <c r="J11" s="5"/>
      <c r="K11" s="5"/>
      <c r="L11" s="5"/>
      <c r="M11" s="5"/>
      <c r="N11" s="5"/>
      <c r="O11" s="5"/>
      <c r="P11" s="5"/>
      <c r="Q11" s="5"/>
      <c r="R11" s="5"/>
      <c r="S11" s="5"/>
      <c r="T11" s="5"/>
      <c r="U11" s="5"/>
      <c r="V11" s="5"/>
      <c r="W11" s="5"/>
      <c r="X11" s="5"/>
    </row>
    <row r="12" spans="1:24" x14ac:dyDescent="0.2">
      <c r="A12" s="5"/>
      <c r="B12" s="5"/>
      <c r="C12" s="5"/>
      <c r="D12" s="5"/>
      <c r="E12" s="5"/>
      <c r="F12" s="5"/>
      <c r="G12" s="5"/>
      <c r="H12" s="5"/>
      <c r="I12" s="5"/>
      <c r="J12" s="5"/>
      <c r="K12" s="5"/>
      <c r="L12" s="5"/>
      <c r="M12" s="5"/>
      <c r="N12" s="5"/>
      <c r="O12" s="5"/>
      <c r="P12" s="5"/>
      <c r="Q12" s="5"/>
      <c r="R12" s="5"/>
      <c r="S12" s="5"/>
      <c r="T12" s="5"/>
      <c r="U12" s="5"/>
      <c r="V12" s="5"/>
      <c r="W12" s="5"/>
      <c r="X12" s="5"/>
    </row>
    <row r="13" spans="1:24" x14ac:dyDescent="0.2">
      <c r="A13" s="5"/>
      <c r="B13" s="5"/>
      <c r="C13" s="5"/>
      <c r="D13" s="5"/>
      <c r="E13" s="5"/>
      <c r="F13" s="5"/>
      <c r="G13" s="5"/>
      <c r="H13" s="5"/>
      <c r="I13" s="5"/>
      <c r="J13" s="5"/>
      <c r="K13" s="5"/>
      <c r="L13" s="5"/>
      <c r="M13" s="5"/>
      <c r="N13" s="5"/>
      <c r="O13" s="5"/>
      <c r="P13" s="5"/>
      <c r="Q13" s="5"/>
      <c r="R13" s="5"/>
      <c r="S13" s="5"/>
      <c r="T13" s="5"/>
      <c r="U13" s="5"/>
      <c r="V13" s="5"/>
      <c r="W13" s="5"/>
      <c r="X13" s="5"/>
    </row>
    <row r="14" spans="1:24" x14ac:dyDescent="0.2">
      <c r="A14" s="5"/>
      <c r="B14" s="5"/>
      <c r="C14" s="5"/>
      <c r="D14" s="5"/>
      <c r="E14" s="5"/>
      <c r="F14" s="5"/>
      <c r="G14" s="5"/>
      <c r="H14" s="5"/>
      <c r="I14" s="5"/>
      <c r="J14" s="5"/>
      <c r="K14" s="5"/>
      <c r="L14" s="5"/>
      <c r="M14" s="5"/>
      <c r="N14" s="5"/>
      <c r="O14" s="5"/>
      <c r="P14" s="5"/>
      <c r="Q14" s="5"/>
      <c r="R14" s="5"/>
      <c r="S14" s="5"/>
      <c r="T14" s="5"/>
      <c r="U14" s="5"/>
      <c r="V14" s="5"/>
      <c r="W14" s="5"/>
      <c r="X14" s="5"/>
    </row>
    <row r="15" spans="1:24" x14ac:dyDescent="0.2">
      <c r="A15" s="5"/>
      <c r="B15" s="5"/>
      <c r="C15" s="5"/>
      <c r="D15" s="5"/>
      <c r="E15" s="5"/>
      <c r="F15" s="5"/>
      <c r="G15" s="5"/>
      <c r="H15" s="5"/>
      <c r="I15" s="5"/>
      <c r="J15" s="5"/>
      <c r="K15" s="5"/>
      <c r="L15" s="5"/>
      <c r="M15" s="5"/>
      <c r="N15" s="5"/>
      <c r="O15" s="5"/>
      <c r="P15" s="5"/>
      <c r="Q15" s="5"/>
      <c r="R15" s="5"/>
      <c r="S15" s="5"/>
      <c r="T15" s="5"/>
      <c r="U15" s="5"/>
      <c r="V15" s="5"/>
      <c r="W15" s="5"/>
      <c r="X15" s="5"/>
    </row>
    <row r="16" spans="1:24" x14ac:dyDescent="0.2">
      <c r="A16" s="5"/>
      <c r="B16" s="5"/>
      <c r="C16" s="5"/>
      <c r="D16" s="5"/>
      <c r="E16" s="5"/>
      <c r="F16" s="5"/>
      <c r="G16" s="5"/>
      <c r="H16" s="5"/>
      <c r="I16" s="5"/>
      <c r="J16" s="5"/>
      <c r="K16" s="5"/>
      <c r="L16" s="5"/>
      <c r="M16" s="5"/>
      <c r="N16" s="5"/>
      <c r="O16" s="5"/>
      <c r="P16" s="5"/>
      <c r="Q16" s="5"/>
      <c r="R16" s="5"/>
      <c r="S16" s="5"/>
      <c r="T16" s="5"/>
      <c r="U16" s="5"/>
      <c r="V16" s="5"/>
      <c r="W16" s="5"/>
      <c r="X16" s="5"/>
    </row>
    <row r="17" spans="1:24" x14ac:dyDescent="0.2">
      <c r="A17" s="5"/>
      <c r="B17" s="5"/>
      <c r="C17" s="5"/>
      <c r="D17" s="5"/>
      <c r="E17" s="5"/>
      <c r="F17" s="5"/>
      <c r="G17" s="5"/>
      <c r="H17" s="5"/>
      <c r="I17" s="5"/>
      <c r="J17" s="5"/>
      <c r="K17" s="5"/>
      <c r="L17" s="5"/>
      <c r="M17" s="5"/>
      <c r="N17" s="5"/>
      <c r="O17" s="5"/>
      <c r="P17" s="5"/>
      <c r="Q17" s="5"/>
      <c r="R17" s="5"/>
      <c r="S17" s="5"/>
      <c r="T17" s="5"/>
      <c r="U17" s="5"/>
      <c r="V17" s="5"/>
      <c r="W17" s="5"/>
      <c r="X17" s="5"/>
    </row>
    <row r="18" spans="1:24" x14ac:dyDescent="0.2">
      <c r="A18" s="5"/>
      <c r="B18" s="5"/>
      <c r="C18" s="5"/>
      <c r="D18" s="5"/>
      <c r="E18" s="5"/>
      <c r="F18" s="5"/>
      <c r="G18" s="5"/>
      <c r="H18" s="5"/>
      <c r="I18" s="5"/>
      <c r="J18" s="5"/>
      <c r="K18" s="5"/>
      <c r="L18" s="5"/>
      <c r="M18" s="5"/>
      <c r="N18" s="5"/>
      <c r="O18" s="5"/>
      <c r="P18" s="5"/>
      <c r="Q18" s="5"/>
      <c r="R18" s="5"/>
      <c r="S18" s="5"/>
      <c r="T18" s="5"/>
      <c r="U18" s="5"/>
      <c r="V18" s="5"/>
      <c r="W18" s="5"/>
      <c r="X18" s="5"/>
    </row>
    <row r="19" spans="1:24" x14ac:dyDescent="0.2">
      <c r="A19" s="5"/>
      <c r="B19" s="5"/>
      <c r="C19" s="5"/>
      <c r="D19" s="5"/>
      <c r="E19" s="5"/>
      <c r="F19" s="5"/>
      <c r="G19" s="5"/>
      <c r="H19" s="5"/>
      <c r="I19" s="5"/>
      <c r="J19" s="5"/>
      <c r="K19" s="5"/>
      <c r="L19" s="5"/>
      <c r="M19" s="5"/>
      <c r="N19" s="5"/>
      <c r="O19" s="5"/>
      <c r="P19" s="5"/>
      <c r="Q19" s="5"/>
      <c r="R19" s="5"/>
      <c r="S19" s="5"/>
      <c r="T19" s="5"/>
      <c r="U19" s="5"/>
      <c r="V19" s="5"/>
      <c r="W19" s="5"/>
      <c r="X19" s="5"/>
    </row>
    <row r="20" spans="1:24" x14ac:dyDescent="0.2">
      <c r="A20" s="5"/>
      <c r="B20" s="5"/>
      <c r="C20" s="5"/>
      <c r="D20" s="5"/>
      <c r="E20" s="5"/>
      <c r="F20" s="5"/>
      <c r="G20" s="5"/>
      <c r="H20" s="5"/>
      <c r="I20" s="5"/>
      <c r="J20" s="5"/>
      <c r="K20" s="5"/>
      <c r="L20" s="5"/>
      <c r="M20" s="5"/>
      <c r="N20" s="5"/>
      <c r="O20" s="5"/>
      <c r="P20" s="5"/>
      <c r="Q20" s="5"/>
      <c r="R20" s="5"/>
      <c r="S20" s="5"/>
      <c r="T20" s="5"/>
      <c r="U20" s="5"/>
      <c r="V20" s="5"/>
      <c r="W20" s="5"/>
      <c r="X20" s="5"/>
    </row>
    <row r="21" spans="1:24" ht="15.75" customHeight="1" x14ac:dyDescent="0.2">
      <c r="A21" s="5"/>
      <c r="B21" s="5"/>
      <c r="C21" s="5"/>
      <c r="D21" s="5"/>
      <c r="E21" s="5"/>
      <c r="F21" s="5"/>
      <c r="G21" s="5"/>
      <c r="H21" s="5"/>
      <c r="I21" s="5"/>
      <c r="J21" s="5"/>
      <c r="K21" s="5"/>
      <c r="L21" s="5"/>
      <c r="M21" s="5"/>
      <c r="N21" s="5"/>
      <c r="O21" s="5"/>
      <c r="P21" s="5"/>
      <c r="Q21" s="5"/>
      <c r="R21" s="5"/>
      <c r="S21" s="5"/>
      <c r="T21" s="5"/>
      <c r="U21" s="5"/>
      <c r="V21" s="5"/>
      <c r="W21" s="5"/>
      <c r="X21" s="5"/>
    </row>
    <row r="22" spans="1:24" ht="15.75" customHeight="1" x14ac:dyDescent="0.2">
      <c r="A22" s="5"/>
      <c r="B22" s="5"/>
      <c r="C22" s="5"/>
      <c r="D22" s="5"/>
      <c r="E22" s="5"/>
      <c r="F22" s="5"/>
      <c r="G22" s="5"/>
      <c r="H22" s="5"/>
      <c r="I22" s="5"/>
      <c r="J22" s="5"/>
      <c r="K22" s="5"/>
      <c r="L22" s="5"/>
      <c r="M22" s="5"/>
      <c r="N22" s="5"/>
      <c r="O22" s="5"/>
      <c r="P22" s="5"/>
      <c r="Q22" s="5"/>
      <c r="R22" s="5"/>
      <c r="S22" s="5"/>
      <c r="T22" s="5"/>
      <c r="U22" s="5"/>
      <c r="V22" s="5"/>
      <c r="W22" s="5"/>
      <c r="X22" s="5"/>
    </row>
    <row r="23" spans="1:24" ht="15.75" customHeight="1" x14ac:dyDescent="0.2">
      <c r="A23" s="5"/>
      <c r="B23" s="5"/>
      <c r="C23" s="5"/>
      <c r="D23" s="5"/>
      <c r="E23" s="5"/>
      <c r="F23" s="5"/>
      <c r="G23" s="5"/>
      <c r="H23" s="5"/>
      <c r="I23" s="5"/>
      <c r="J23" s="5"/>
      <c r="K23" s="5"/>
      <c r="L23" s="5"/>
      <c r="M23" s="5"/>
      <c r="N23" s="5"/>
      <c r="O23" s="5"/>
      <c r="P23" s="5"/>
      <c r="Q23" s="5"/>
      <c r="R23" s="5"/>
      <c r="S23" s="5"/>
      <c r="T23" s="5"/>
      <c r="U23" s="5"/>
      <c r="V23" s="5"/>
      <c r="W23" s="5"/>
      <c r="X23" s="5"/>
    </row>
    <row r="24" spans="1:24" ht="15.75" customHeight="1" x14ac:dyDescent="0.2">
      <c r="A24" s="5"/>
      <c r="B24" s="5"/>
      <c r="C24" s="5"/>
      <c r="D24" s="5"/>
      <c r="E24" s="5"/>
      <c r="F24" s="5"/>
      <c r="G24" s="5"/>
      <c r="H24" s="5"/>
      <c r="I24" s="5"/>
      <c r="J24" s="5"/>
      <c r="K24" s="5"/>
      <c r="L24" s="5"/>
      <c r="M24" s="5"/>
      <c r="N24" s="5"/>
      <c r="O24" s="5"/>
      <c r="P24" s="5"/>
      <c r="Q24" s="5"/>
      <c r="R24" s="5"/>
      <c r="S24" s="5"/>
      <c r="T24" s="5"/>
      <c r="U24" s="5"/>
      <c r="V24" s="5"/>
      <c r="W24" s="5"/>
      <c r="X24" s="5"/>
    </row>
    <row r="25" spans="1:24" ht="15.75" customHeight="1" x14ac:dyDescent="0.2">
      <c r="A25" s="5"/>
      <c r="B25" s="5"/>
      <c r="C25" s="5"/>
      <c r="D25" s="5"/>
      <c r="E25" s="5"/>
      <c r="F25" s="5"/>
      <c r="G25" s="5"/>
      <c r="H25" s="5"/>
      <c r="I25" s="5"/>
      <c r="J25" s="5"/>
      <c r="K25" s="5"/>
      <c r="L25" s="5"/>
      <c r="M25" s="5"/>
      <c r="N25" s="5"/>
      <c r="O25" s="5"/>
      <c r="P25" s="5"/>
      <c r="Q25" s="5"/>
      <c r="R25" s="5"/>
      <c r="S25" s="5"/>
      <c r="T25" s="5"/>
      <c r="U25" s="5"/>
      <c r="V25" s="5"/>
      <c r="W25" s="5"/>
      <c r="X25" s="5"/>
    </row>
    <row r="26" spans="1:24" ht="15.75" customHeight="1" x14ac:dyDescent="0.2">
      <c r="A26" s="5"/>
      <c r="B26" s="5"/>
      <c r="C26" s="5"/>
      <c r="D26" s="5"/>
      <c r="E26" s="5"/>
      <c r="F26" s="5"/>
      <c r="G26" s="5"/>
      <c r="H26" s="5"/>
      <c r="I26" s="5"/>
      <c r="J26" s="5"/>
      <c r="K26" s="5"/>
      <c r="L26" s="5"/>
      <c r="M26" s="5"/>
      <c r="N26" s="5"/>
      <c r="O26" s="5"/>
      <c r="P26" s="5"/>
      <c r="Q26" s="5"/>
      <c r="R26" s="5"/>
      <c r="S26" s="5"/>
      <c r="T26" s="5"/>
      <c r="U26" s="5"/>
      <c r="V26" s="5"/>
      <c r="W26" s="5"/>
      <c r="X26" s="5"/>
    </row>
    <row r="27" spans="1:24" ht="15.75" customHeight="1" x14ac:dyDescent="0.2">
      <c r="A27" s="5"/>
      <c r="B27" s="5"/>
      <c r="C27" s="5"/>
      <c r="D27" s="5"/>
      <c r="E27" s="5"/>
      <c r="F27" s="5"/>
      <c r="G27" s="5"/>
      <c r="H27" s="5"/>
      <c r="I27" s="5"/>
      <c r="J27" s="5"/>
      <c r="K27" s="5"/>
      <c r="L27" s="5"/>
      <c r="M27" s="5"/>
      <c r="N27" s="5"/>
      <c r="O27" s="5"/>
      <c r="P27" s="5"/>
      <c r="Q27" s="5"/>
      <c r="R27" s="5"/>
      <c r="S27" s="5"/>
      <c r="T27" s="5"/>
      <c r="U27" s="5"/>
      <c r="V27" s="5"/>
      <c r="W27" s="5"/>
      <c r="X27" s="5"/>
    </row>
    <row r="28" spans="1:24" ht="15.75" customHeight="1" x14ac:dyDescent="0.2">
      <c r="A28" s="5"/>
      <c r="B28" s="5"/>
      <c r="C28" s="5"/>
      <c r="D28" s="5"/>
      <c r="E28" s="5"/>
      <c r="F28" s="5"/>
      <c r="G28" s="5"/>
      <c r="H28" s="5"/>
      <c r="I28" s="5"/>
      <c r="J28" s="5"/>
      <c r="K28" s="5"/>
      <c r="L28" s="5"/>
      <c r="M28" s="5"/>
      <c r="N28" s="5"/>
      <c r="O28" s="5"/>
      <c r="P28" s="5"/>
      <c r="Q28" s="5"/>
      <c r="R28" s="5"/>
      <c r="S28" s="5"/>
      <c r="T28" s="5"/>
      <c r="U28" s="5"/>
      <c r="V28" s="5"/>
      <c r="W28" s="5"/>
      <c r="X28" s="5"/>
    </row>
    <row r="29" spans="1:24" ht="15.75" customHeight="1" x14ac:dyDescent="0.2">
      <c r="A29" s="5"/>
      <c r="B29" s="5"/>
      <c r="C29" s="5"/>
      <c r="D29" s="5"/>
      <c r="E29" s="5"/>
      <c r="F29" s="5"/>
      <c r="G29" s="5"/>
      <c r="H29" s="5"/>
      <c r="I29" s="5"/>
      <c r="J29" s="5"/>
      <c r="K29" s="5"/>
      <c r="L29" s="5"/>
      <c r="M29" s="5"/>
      <c r="N29" s="5"/>
      <c r="O29" s="5"/>
      <c r="P29" s="5"/>
      <c r="Q29" s="5"/>
      <c r="R29" s="5"/>
      <c r="S29" s="5"/>
      <c r="T29" s="5"/>
      <c r="U29" s="5"/>
      <c r="V29" s="5"/>
      <c r="W29" s="5"/>
      <c r="X29" s="5"/>
    </row>
    <row r="30" spans="1:24" ht="15.75" customHeight="1" x14ac:dyDescent="0.2">
      <c r="A30" s="5"/>
      <c r="B30" s="5"/>
      <c r="C30" s="5"/>
      <c r="D30" s="5"/>
      <c r="E30" s="5"/>
      <c r="F30" s="5"/>
      <c r="G30" s="5"/>
      <c r="H30" s="5"/>
      <c r="I30" s="5"/>
      <c r="J30" s="5"/>
      <c r="K30" s="5"/>
      <c r="L30" s="5"/>
      <c r="M30" s="5"/>
      <c r="N30" s="5"/>
      <c r="O30" s="5"/>
      <c r="P30" s="5"/>
      <c r="Q30" s="5"/>
      <c r="R30" s="5"/>
      <c r="S30" s="5"/>
      <c r="T30" s="5"/>
      <c r="U30" s="5"/>
      <c r="V30" s="5"/>
      <c r="W30" s="5"/>
      <c r="X30" s="5"/>
    </row>
    <row r="31" spans="1:24" ht="15.75" customHeight="1" x14ac:dyDescent="0.2">
      <c r="A31" s="5"/>
      <c r="B31" s="5"/>
      <c r="C31" s="5"/>
      <c r="D31" s="5"/>
      <c r="E31" s="5"/>
      <c r="F31" s="5"/>
      <c r="G31" s="5"/>
      <c r="H31" s="5"/>
      <c r="I31" s="5"/>
      <c r="J31" s="5"/>
      <c r="K31" s="5"/>
      <c r="L31" s="5"/>
      <c r="M31" s="5"/>
      <c r="N31" s="5"/>
      <c r="O31" s="5"/>
      <c r="P31" s="5"/>
      <c r="Q31" s="5"/>
      <c r="R31" s="5"/>
      <c r="S31" s="5"/>
      <c r="T31" s="5"/>
      <c r="U31" s="5"/>
      <c r="V31" s="5"/>
      <c r="W31" s="5"/>
      <c r="X31" s="5"/>
    </row>
    <row r="32" spans="1:24" ht="15.75" customHeight="1" x14ac:dyDescent="0.2">
      <c r="A32" s="5"/>
      <c r="B32" s="5"/>
      <c r="C32" s="5"/>
      <c r="D32" s="5"/>
      <c r="E32" s="5"/>
      <c r="F32" s="5"/>
      <c r="G32" s="5"/>
      <c r="H32" s="5"/>
      <c r="I32" s="5"/>
      <c r="J32" s="5"/>
      <c r="K32" s="5"/>
      <c r="L32" s="5"/>
      <c r="M32" s="5"/>
      <c r="N32" s="5"/>
      <c r="O32" s="5"/>
      <c r="P32" s="5"/>
      <c r="Q32" s="5"/>
      <c r="R32" s="5"/>
      <c r="S32" s="5"/>
      <c r="T32" s="5"/>
      <c r="U32" s="5"/>
      <c r="V32" s="5"/>
      <c r="W32" s="5"/>
      <c r="X32" s="5"/>
    </row>
    <row r="33" spans="1:24" ht="15.75" customHeight="1" x14ac:dyDescent="0.2">
      <c r="A33" s="5"/>
      <c r="B33" s="5"/>
      <c r="C33" s="5"/>
      <c r="D33" s="5"/>
      <c r="E33" s="5"/>
      <c r="F33" s="5"/>
      <c r="G33" s="5"/>
      <c r="H33" s="5"/>
      <c r="I33" s="5"/>
      <c r="J33" s="5"/>
      <c r="K33" s="5"/>
      <c r="L33" s="5"/>
      <c r="M33" s="5"/>
      <c r="N33" s="5"/>
      <c r="O33" s="5"/>
      <c r="P33" s="5"/>
      <c r="Q33" s="5"/>
      <c r="R33" s="5"/>
      <c r="S33" s="5"/>
      <c r="T33" s="5"/>
      <c r="U33" s="5"/>
      <c r="V33" s="5"/>
      <c r="W33" s="5"/>
      <c r="X33" s="5"/>
    </row>
    <row r="34" spans="1:24" ht="15.75" customHeight="1" x14ac:dyDescent="0.2">
      <c r="A34" s="5"/>
      <c r="B34" s="5"/>
      <c r="C34" s="5"/>
      <c r="D34" s="5"/>
      <c r="E34" s="5"/>
      <c r="F34" s="5"/>
      <c r="G34" s="5"/>
      <c r="H34" s="5"/>
      <c r="I34" s="5"/>
      <c r="J34" s="5"/>
      <c r="K34" s="5"/>
      <c r="L34" s="5"/>
      <c r="M34" s="5"/>
      <c r="N34" s="5"/>
      <c r="O34" s="5"/>
      <c r="P34" s="5"/>
      <c r="Q34" s="5"/>
      <c r="R34" s="5"/>
      <c r="S34" s="5"/>
      <c r="T34" s="5"/>
      <c r="U34" s="5"/>
      <c r="V34" s="5"/>
      <c r="W34" s="5"/>
      <c r="X34" s="5"/>
    </row>
    <row r="35" spans="1:24" ht="15.75" customHeight="1" x14ac:dyDescent="0.2">
      <c r="A35" s="5"/>
      <c r="B35" s="5"/>
      <c r="C35" s="5"/>
      <c r="D35" s="5"/>
      <c r="E35" s="5"/>
      <c r="F35" s="5"/>
      <c r="G35" s="5"/>
      <c r="H35" s="5"/>
      <c r="I35" s="5"/>
      <c r="J35" s="5"/>
      <c r="K35" s="5"/>
      <c r="L35" s="5"/>
      <c r="M35" s="5"/>
      <c r="N35" s="5"/>
      <c r="O35" s="5"/>
      <c r="P35" s="5"/>
      <c r="Q35" s="5"/>
      <c r="R35" s="5"/>
      <c r="S35" s="5"/>
      <c r="T35" s="5"/>
      <c r="U35" s="5"/>
      <c r="V35" s="5"/>
      <c r="W35" s="5"/>
      <c r="X35" s="5"/>
    </row>
    <row r="36" spans="1:24" ht="15.75" customHeight="1" x14ac:dyDescent="0.2">
      <c r="A36" s="5"/>
      <c r="B36" s="5"/>
      <c r="C36" s="5"/>
      <c r="D36" s="5"/>
      <c r="E36" s="5"/>
      <c r="F36" s="5"/>
      <c r="G36" s="5"/>
      <c r="H36" s="5"/>
      <c r="I36" s="5"/>
      <c r="J36" s="5"/>
      <c r="K36" s="5"/>
      <c r="L36" s="5"/>
      <c r="M36" s="5"/>
      <c r="N36" s="5"/>
      <c r="O36" s="5"/>
      <c r="P36" s="5"/>
      <c r="Q36" s="5"/>
      <c r="R36" s="5"/>
      <c r="S36" s="5"/>
      <c r="T36" s="5"/>
      <c r="U36" s="5"/>
      <c r="V36" s="5"/>
      <c r="W36" s="5"/>
      <c r="X36" s="5"/>
    </row>
    <row r="37" spans="1:24" ht="15.75" customHeight="1" x14ac:dyDescent="0.2">
      <c r="A37" s="5"/>
      <c r="B37" s="5"/>
      <c r="C37" s="5"/>
      <c r="D37" s="5"/>
      <c r="E37" s="5"/>
      <c r="F37" s="5"/>
      <c r="G37" s="5"/>
      <c r="H37" s="5"/>
      <c r="I37" s="5"/>
      <c r="J37" s="5"/>
      <c r="K37" s="5"/>
      <c r="L37" s="5"/>
      <c r="M37" s="5"/>
      <c r="N37" s="5"/>
      <c r="O37" s="5"/>
      <c r="P37" s="5"/>
      <c r="Q37" s="5"/>
      <c r="R37" s="5"/>
      <c r="S37" s="5"/>
      <c r="T37" s="5"/>
      <c r="U37" s="5"/>
      <c r="V37" s="5"/>
      <c r="W37" s="5"/>
      <c r="X37" s="5"/>
    </row>
    <row r="38" spans="1:24" ht="15.75" customHeight="1" x14ac:dyDescent="0.2">
      <c r="A38" s="5"/>
      <c r="B38" s="5"/>
      <c r="C38" s="5"/>
      <c r="D38" s="5"/>
      <c r="E38" s="5"/>
      <c r="F38" s="5"/>
      <c r="G38" s="5"/>
      <c r="H38" s="5"/>
      <c r="I38" s="5"/>
      <c r="J38" s="5"/>
      <c r="K38" s="5"/>
      <c r="L38" s="5"/>
      <c r="M38" s="5"/>
      <c r="N38" s="5"/>
      <c r="O38" s="5"/>
      <c r="P38" s="5"/>
      <c r="Q38" s="5"/>
      <c r="R38" s="5"/>
      <c r="S38" s="5"/>
      <c r="T38" s="5"/>
      <c r="U38" s="5"/>
      <c r="V38" s="5"/>
      <c r="W38" s="5"/>
      <c r="X38" s="5"/>
    </row>
    <row r="39" spans="1:24" ht="15.75" customHeight="1" x14ac:dyDescent="0.2">
      <c r="A39" s="5"/>
      <c r="B39" s="5"/>
      <c r="C39" s="5"/>
      <c r="D39" s="5"/>
      <c r="E39" s="5"/>
      <c r="F39" s="5"/>
      <c r="G39" s="5"/>
      <c r="H39" s="5"/>
      <c r="I39" s="5"/>
      <c r="J39" s="5"/>
      <c r="K39" s="5"/>
      <c r="L39" s="5"/>
      <c r="M39" s="5"/>
      <c r="N39" s="5"/>
      <c r="O39" s="5"/>
      <c r="P39" s="5"/>
      <c r="Q39" s="5"/>
      <c r="R39" s="5"/>
      <c r="S39" s="5"/>
      <c r="T39" s="5"/>
      <c r="U39" s="5"/>
      <c r="V39" s="5"/>
      <c r="W39" s="5"/>
      <c r="X39" s="5"/>
    </row>
    <row r="40" spans="1:24" ht="15.75" customHeight="1" x14ac:dyDescent="0.2">
      <c r="A40" s="5"/>
      <c r="B40" s="5"/>
      <c r="C40" s="5"/>
      <c r="D40" s="5"/>
      <c r="E40" s="5"/>
      <c r="F40" s="5"/>
      <c r="G40" s="5"/>
      <c r="H40" s="5"/>
      <c r="I40" s="5"/>
      <c r="J40" s="5"/>
      <c r="K40" s="5"/>
      <c r="L40" s="5"/>
      <c r="M40" s="5"/>
      <c r="N40" s="5"/>
      <c r="O40" s="5"/>
      <c r="P40" s="5"/>
      <c r="Q40" s="5"/>
      <c r="R40" s="5"/>
      <c r="S40" s="5"/>
      <c r="T40" s="5"/>
      <c r="U40" s="5"/>
      <c r="V40" s="5"/>
      <c r="W40" s="5"/>
      <c r="X40" s="5"/>
    </row>
    <row r="41" spans="1:24" ht="15.75" customHeight="1" x14ac:dyDescent="0.2">
      <c r="A41" s="5"/>
      <c r="B41" s="5"/>
      <c r="C41" s="5"/>
      <c r="D41" s="5"/>
      <c r="E41" s="5"/>
      <c r="F41" s="5"/>
      <c r="G41" s="5"/>
      <c r="H41" s="5"/>
      <c r="I41" s="5"/>
      <c r="J41" s="5"/>
      <c r="K41" s="5"/>
      <c r="L41" s="5"/>
      <c r="M41" s="5"/>
      <c r="N41" s="5"/>
      <c r="O41" s="5"/>
      <c r="P41" s="5"/>
      <c r="Q41" s="5"/>
      <c r="R41" s="5"/>
      <c r="S41" s="5"/>
      <c r="T41" s="5"/>
      <c r="U41" s="5"/>
      <c r="V41" s="5"/>
      <c r="W41" s="5"/>
      <c r="X41" s="5"/>
    </row>
    <row r="42" spans="1:24" ht="15.75" customHeight="1" x14ac:dyDescent="0.2">
      <c r="A42" s="5"/>
      <c r="B42" s="5"/>
      <c r="C42" s="5"/>
      <c r="D42" s="5"/>
      <c r="E42" s="5"/>
      <c r="F42" s="5"/>
      <c r="G42" s="5"/>
      <c r="H42" s="5"/>
      <c r="I42" s="5"/>
      <c r="J42" s="5"/>
      <c r="K42" s="5"/>
      <c r="L42" s="5"/>
      <c r="M42" s="5"/>
      <c r="N42" s="5"/>
      <c r="O42" s="5"/>
      <c r="P42" s="5"/>
      <c r="Q42" s="5"/>
      <c r="R42" s="5"/>
      <c r="S42" s="5"/>
      <c r="T42" s="5"/>
      <c r="U42" s="5"/>
      <c r="V42" s="5"/>
      <c r="W42" s="5"/>
      <c r="X42" s="5"/>
    </row>
    <row r="43" spans="1:24" ht="15.75" customHeight="1" x14ac:dyDescent="0.2">
      <c r="A43" s="5"/>
      <c r="B43" s="5"/>
      <c r="C43" s="5"/>
      <c r="D43" s="5"/>
      <c r="E43" s="5"/>
      <c r="F43" s="5"/>
      <c r="G43" s="5"/>
      <c r="H43" s="5"/>
      <c r="I43" s="5"/>
      <c r="J43" s="5"/>
      <c r="K43" s="5"/>
      <c r="L43" s="5"/>
      <c r="M43" s="5"/>
      <c r="N43" s="5"/>
      <c r="O43" s="5"/>
      <c r="P43" s="5"/>
      <c r="Q43" s="5"/>
      <c r="R43" s="5"/>
      <c r="S43" s="5"/>
      <c r="T43" s="5"/>
      <c r="U43" s="5"/>
      <c r="V43" s="5"/>
      <c r="W43" s="5"/>
      <c r="X43" s="5"/>
    </row>
    <row r="44" spans="1:24" ht="15.75" customHeight="1" x14ac:dyDescent="0.2">
      <c r="A44" s="5"/>
      <c r="B44" s="5"/>
      <c r="C44" s="5"/>
      <c r="D44" s="5"/>
      <c r="E44" s="5"/>
      <c r="F44" s="5"/>
      <c r="G44" s="5"/>
      <c r="H44" s="5"/>
      <c r="I44" s="5"/>
      <c r="J44" s="5"/>
      <c r="K44" s="5"/>
      <c r="L44" s="5"/>
      <c r="M44" s="5"/>
      <c r="N44" s="5"/>
      <c r="O44" s="5"/>
      <c r="P44" s="5"/>
      <c r="Q44" s="5"/>
      <c r="R44" s="5"/>
      <c r="S44" s="5"/>
      <c r="T44" s="5"/>
      <c r="U44" s="5"/>
      <c r="V44" s="5"/>
      <c r="W44" s="5"/>
      <c r="X44" s="5"/>
    </row>
    <row r="45" spans="1:24" ht="15.75" customHeight="1" x14ac:dyDescent="0.2">
      <c r="A45" s="5"/>
      <c r="B45" s="5"/>
      <c r="C45" s="5"/>
      <c r="D45" s="5"/>
      <c r="E45" s="5"/>
      <c r="F45" s="5"/>
      <c r="G45" s="5"/>
      <c r="H45" s="5"/>
      <c r="I45" s="5"/>
      <c r="J45" s="5"/>
      <c r="K45" s="5"/>
      <c r="L45" s="5"/>
      <c r="M45" s="5"/>
      <c r="N45" s="5"/>
      <c r="O45" s="5"/>
      <c r="P45" s="5"/>
      <c r="Q45" s="5"/>
      <c r="R45" s="5"/>
      <c r="S45" s="5"/>
      <c r="T45" s="5"/>
      <c r="U45" s="5"/>
      <c r="V45" s="5"/>
      <c r="W45" s="5"/>
      <c r="X45" s="5"/>
    </row>
    <row r="46" spans="1:24" ht="15.75" customHeight="1" x14ac:dyDescent="0.2">
      <c r="A46" s="5"/>
      <c r="B46" s="5"/>
      <c r="C46" s="5"/>
      <c r="D46" s="5"/>
      <c r="E46" s="5"/>
      <c r="F46" s="5"/>
      <c r="G46" s="5"/>
      <c r="H46" s="5"/>
      <c r="I46" s="5"/>
      <c r="J46" s="5"/>
      <c r="K46" s="5"/>
      <c r="L46" s="5"/>
      <c r="M46" s="5"/>
      <c r="N46" s="5"/>
      <c r="O46" s="5"/>
      <c r="P46" s="5"/>
      <c r="Q46" s="5"/>
      <c r="R46" s="5"/>
      <c r="S46" s="5"/>
      <c r="T46" s="5"/>
      <c r="U46" s="5"/>
      <c r="V46" s="5"/>
      <c r="W46" s="5"/>
      <c r="X46" s="5"/>
    </row>
    <row r="47" spans="1:24" ht="15.75" customHeight="1" x14ac:dyDescent="0.2">
      <c r="A47" s="5"/>
      <c r="B47" s="5"/>
      <c r="C47" s="5"/>
      <c r="D47" s="5"/>
      <c r="E47" s="5"/>
      <c r="F47" s="5"/>
      <c r="G47" s="5"/>
      <c r="H47" s="5"/>
      <c r="I47" s="5"/>
      <c r="J47" s="5"/>
      <c r="K47" s="5"/>
      <c r="L47" s="5"/>
      <c r="M47" s="5"/>
      <c r="N47" s="5"/>
      <c r="O47" s="5"/>
      <c r="P47" s="5"/>
      <c r="Q47" s="5"/>
      <c r="R47" s="5"/>
      <c r="S47" s="5"/>
      <c r="T47" s="5"/>
      <c r="U47" s="5"/>
      <c r="V47" s="5"/>
      <c r="W47" s="5"/>
      <c r="X47" s="5"/>
    </row>
    <row r="48" spans="1:24" ht="15.75" customHeight="1" x14ac:dyDescent="0.2">
      <c r="A48" s="5"/>
      <c r="B48" s="5"/>
      <c r="C48" s="5"/>
      <c r="D48" s="5"/>
      <c r="E48" s="5"/>
      <c r="F48" s="5"/>
      <c r="G48" s="5"/>
      <c r="H48" s="5"/>
      <c r="I48" s="5"/>
      <c r="J48" s="5"/>
      <c r="K48" s="5"/>
      <c r="L48" s="5"/>
      <c r="M48" s="5"/>
      <c r="N48" s="5"/>
      <c r="O48" s="5"/>
      <c r="P48" s="5"/>
      <c r="Q48" s="5"/>
      <c r="R48" s="5"/>
      <c r="S48" s="5"/>
      <c r="T48" s="5"/>
      <c r="U48" s="5"/>
      <c r="V48" s="5"/>
      <c r="W48" s="5"/>
      <c r="X48" s="5"/>
    </row>
    <row r="49" spans="1:24" ht="15.75" customHeight="1" x14ac:dyDescent="0.2">
      <c r="A49" s="5"/>
      <c r="B49" s="5"/>
      <c r="C49" s="5"/>
      <c r="D49" s="5"/>
      <c r="E49" s="5"/>
      <c r="F49" s="5"/>
      <c r="G49" s="5"/>
      <c r="H49" s="5"/>
      <c r="I49" s="5"/>
      <c r="J49" s="5"/>
      <c r="K49" s="5"/>
      <c r="L49" s="5"/>
      <c r="M49" s="5"/>
      <c r="N49" s="5"/>
      <c r="O49" s="5"/>
      <c r="P49" s="5"/>
      <c r="Q49" s="5"/>
      <c r="R49" s="5"/>
      <c r="S49" s="5"/>
      <c r="T49" s="5"/>
      <c r="U49" s="5"/>
      <c r="V49" s="5"/>
      <c r="W49" s="5"/>
      <c r="X49" s="5"/>
    </row>
    <row r="50" spans="1:24" ht="15.75" customHeight="1" x14ac:dyDescent="0.2">
      <c r="A50" s="5"/>
      <c r="B50" s="5"/>
      <c r="C50" s="5"/>
      <c r="D50" s="5"/>
      <c r="E50" s="5"/>
      <c r="F50" s="5"/>
      <c r="G50" s="5"/>
      <c r="H50" s="5"/>
      <c r="I50" s="5"/>
      <c r="J50" s="5"/>
      <c r="K50" s="5"/>
      <c r="L50" s="5"/>
      <c r="M50" s="5"/>
      <c r="N50" s="5"/>
      <c r="O50" s="5"/>
      <c r="P50" s="5"/>
      <c r="Q50" s="5"/>
      <c r="R50" s="5"/>
      <c r="S50" s="5"/>
      <c r="T50" s="5"/>
      <c r="U50" s="5"/>
      <c r="V50" s="5"/>
      <c r="W50" s="5"/>
      <c r="X50" s="5"/>
    </row>
    <row r="51" spans="1:24" ht="15.75" customHeight="1" x14ac:dyDescent="0.2">
      <c r="A51" s="5"/>
      <c r="B51" s="5"/>
      <c r="C51" s="5"/>
      <c r="D51" s="5"/>
      <c r="E51" s="5"/>
      <c r="F51" s="5"/>
      <c r="G51" s="5"/>
      <c r="H51" s="5"/>
      <c r="I51" s="5"/>
      <c r="J51" s="5"/>
      <c r="K51" s="5"/>
      <c r="L51" s="5"/>
      <c r="M51" s="5"/>
      <c r="N51" s="5"/>
      <c r="O51" s="5"/>
      <c r="P51" s="5"/>
      <c r="Q51" s="5"/>
      <c r="R51" s="5"/>
      <c r="S51" s="5"/>
      <c r="T51" s="5"/>
      <c r="U51" s="5"/>
      <c r="V51" s="5"/>
      <c r="W51" s="5"/>
      <c r="X51" s="5"/>
    </row>
    <row r="52" spans="1:24" ht="15.75" customHeight="1" x14ac:dyDescent="0.2">
      <c r="A52" s="5"/>
      <c r="B52" s="5"/>
      <c r="C52" s="5"/>
      <c r="D52" s="5"/>
      <c r="E52" s="5"/>
      <c r="F52" s="5"/>
      <c r="G52" s="5"/>
      <c r="H52" s="5"/>
      <c r="I52" s="5"/>
      <c r="J52" s="5"/>
      <c r="K52" s="5"/>
      <c r="L52" s="5"/>
      <c r="M52" s="5"/>
      <c r="N52" s="5"/>
      <c r="O52" s="5"/>
      <c r="P52" s="5"/>
      <c r="Q52" s="5"/>
      <c r="R52" s="5"/>
      <c r="S52" s="5"/>
      <c r="T52" s="5"/>
      <c r="U52" s="5"/>
      <c r="V52" s="5"/>
      <c r="W52" s="5"/>
      <c r="X52" s="5"/>
    </row>
    <row r="53" spans="1:24" ht="15.75" customHeight="1" x14ac:dyDescent="0.2">
      <c r="A53" s="5"/>
      <c r="B53" s="5"/>
      <c r="C53" s="5"/>
      <c r="D53" s="5"/>
      <c r="E53" s="5"/>
      <c r="F53" s="5"/>
      <c r="G53" s="5"/>
      <c r="H53" s="5"/>
      <c r="I53" s="5"/>
      <c r="J53" s="5"/>
      <c r="K53" s="5"/>
      <c r="L53" s="5"/>
      <c r="M53" s="5"/>
      <c r="N53" s="5"/>
      <c r="O53" s="5"/>
      <c r="P53" s="5"/>
      <c r="Q53" s="5"/>
      <c r="R53" s="5"/>
      <c r="S53" s="5"/>
      <c r="T53" s="5"/>
      <c r="U53" s="5"/>
      <c r="V53" s="5"/>
      <c r="W53" s="5"/>
      <c r="X53" s="5"/>
    </row>
    <row r="54" spans="1:24" ht="15.75" customHeight="1" x14ac:dyDescent="0.2">
      <c r="A54" s="5"/>
      <c r="B54" s="5"/>
      <c r="C54" s="5"/>
      <c r="D54" s="5"/>
      <c r="E54" s="5"/>
      <c r="F54" s="5"/>
      <c r="G54" s="5"/>
      <c r="H54" s="5"/>
      <c r="I54" s="5"/>
      <c r="J54" s="5"/>
      <c r="K54" s="5"/>
      <c r="L54" s="5"/>
      <c r="M54" s="5"/>
      <c r="N54" s="5"/>
      <c r="O54" s="5"/>
      <c r="P54" s="5"/>
      <c r="Q54" s="5"/>
      <c r="R54" s="5"/>
      <c r="S54" s="5"/>
      <c r="T54" s="5"/>
      <c r="U54" s="5"/>
      <c r="V54" s="5"/>
      <c r="W54" s="5"/>
      <c r="X54" s="5"/>
    </row>
    <row r="55" spans="1:24" ht="15.75" customHeight="1" x14ac:dyDescent="0.2">
      <c r="A55" s="5"/>
      <c r="B55" s="5"/>
      <c r="C55" s="5"/>
      <c r="D55" s="5"/>
      <c r="E55" s="5"/>
      <c r="F55" s="5"/>
      <c r="G55" s="5"/>
      <c r="H55" s="5"/>
      <c r="I55" s="5"/>
      <c r="J55" s="5"/>
      <c r="K55" s="5"/>
      <c r="L55" s="5"/>
      <c r="M55" s="5"/>
      <c r="N55" s="5"/>
      <c r="O55" s="5"/>
      <c r="P55" s="5"/>
      <c r="Q55" s="5"/>
      <c r="R55" s="5"/>
      <c r="S55" s="5"/>
      <c r="T55" s="5"/>
      <c r="U55" s="5"/>
      <c r="V55" s="5"/>
      <c r="W55" s="5"/>
      <c r="X55" s="5"/>
    </row>
    <row r="56" spans="1:24" ht="15.75" customHeight="1" x14ac:dyDescent="0.2">
      <c r="A56" s="5"/>
      <c r="B56" s="5"/>
      <c r="C56" s="5"/>
      <c r="D56" s="5"/>
      <c r="E56" s="5"/>
      <c r="F56" s="5"/>
      <c r="G56" s="5"/>
      <c r="H56" s="5"/>
      <c r="I56" s="5"/>
      <c r="J56" s="5"/>
      <c r="K56" s="5"/>
      <c r="L56" s="5"/>
      <c r="M56" s="5"/>
      <c r="N56" s="5"/>
      <c r="O56" s="5"/>
      <c r="P56" s="5"/>
      <c r="Q56" s="5"/>
      <c r="R56" s="5"/>
      <c r="S56" s="5"/>
      <c r="T56" s="5"/>
      <c r="U56" s="5"/>
      <c r="V56" s="5"/>
      <c r="W56" s="5"/>
      <c r="X56" s="5"/>
    </row>
    <row r="57" spans="1:24" ht="15.75" customHeight="1" x14ac:dyDescent="0.2">
      <c r="A57" s="5"/>
      <c r="B57" s="5"/>
      <c r="C57" s="5"/>
      <c r="D57" s="5"/>
      <c r="E57" s="5"/>
      <c r="F57" s="5"/>
      <c r="G57" s="5"/>
      <c r="H57" s="5"/>
      <c r="I57" s="5"/>
      <c r="J57" s="5"/>
      <c r="K57" s="5"/>
      <c r="L57" s="5"/>
      <c r="M57" s="5"/>
      <c r="N57" s="5"/>
      <c r="O57" s="5"/>
      <c r="P57" s="5"/>
      <c r="Q57" s="5"/>
      <c r="R57" s="5"/>
      <c r="S57" s="5"/>
      <c r="T57" s="5"/>
      <c r="U57" s="5"/>
      <c r="V57" s="5"/>
      <c r="W57" s="5"/>
      <c r="X57" s="5"/>
    </row>
    <row r="58" spans="1:24" ht="15.75" customHeight="1" x14ac:dyDescent="0.2">
      <c r="A58" s="5"/>
      <c r="B58" s="5"/>
      <c r="C58" s="5"/>
      <c r="D58" s="5"/>
      <c r="E58" s="5"/>
      <c r="F58" s="5"/>
      <c r="G58" s="5"/>
      <c r="H58" s="5"/>
      <c r="I58" s="5"/>
      <c r="J58" s="5"/>
      <c r="K58" s="5"/>
      <c r="L58" s="5"/>
      <c r="M58" s="5"/>
      <c r="N58" s="5"/>
      <c r="O58" s="5"/>
      <c r="P58" s="5"/>
      <c r="Q58" s="5"/>
      <c r="R58" s="5"/>
      <c r="S58" s="5"/>
      <c r="T58" s="5"/>
      <c r="U58" s="5"/>
      <c r="V58" s="5"/>
      <c r="W58" s="5"/>
      <c r="X58" s="5"/>
    </row>
    <row r="59" spans="1:24" ht="15.75" customHeight="1" x14ac:dyDescent="0.2">
      <c r="A59" s="5"/>
      <c r="B59" s="5"/>
      <c r="C59" s="5"/>
      <c r="D59" s="5"/>
      <c r="E59" s="5"/>
      <c r="F59" s="5"/>
      <c r="G59" s="5"/>
      <c r="H59" s="5"/>
      <c r="I59" s="5"/>
      <c r="J59" s="5"/>
      <c r="K59" s="5"/>
      <c r="L59" s="5"/>
      <c r="M59" s="5"/>
      <c r="N59" s="5"/>
      <c r="O59" s="5"/>
      <c r="P59" s="5"/>
      <c r="Q59" s="5"/>
      <c r="R59" s="5"/>
      <c r="S59" s="5"/>
      <c r="T59" s="5"/>
      <c r="U59" s="5"/>
      <c r="V59" s="5"/>
      <c r="W59" s="5"/>
      <c r="X59" s="5"/>
    </row>
    <row r="60" spans="1:24" ht="15.75" customHeight="1" x14ac:dyDescent="0.2">
      <c r="A60" s="5"/>
      <c r="B60" s="5"/>
      <c r="C60" s="5"/>
      <c r="D60" s="5"/>
      <c r="E60" s="5"/>
      <c r="F60" s="5"/>
      <c r="G60" s="5"/>
      <c r="H60" s="5"/>
      <c r="I60" s="5"/>
      <c r="J60" s="5"/>
      <c r="K60" s="5"/>
      <c r="L60" s="5"/>
      <c r="M60" s="5"/>
      <c r="N60" s="5"/>
      <c r="O60" s="5"/>
      <c r="P60" s="5"/>
      <c r="Q60" s="5"/>
      <c r="R60" s="5"/>
      <c r="S60" s="5"/>
      <c r="T60" s="5"/>
      <c r="U60" s="5"/>
      <c r="V60" s="5"/>
      <c r="W60" s="5"/>
      <c r="X60" s="5"/>
    </row>
    <row r="61" spans="1:24" ht="15.75" customHeight="1" x14ac:dyDescent="0.2">
      <c r="A61" s="5"/>
      <c r="B61" s="5"/>
      <c r="C61" s="5"/>
      <c r="D61" s="5"/>
      <c r="E61" s="5"/>
      <c r="F61" s="5"/>
      <c r="G61" s="5"/>
      <c r="H61" s="5"/>
      <c r="I61" s="5"/>
      <c r="J61" s="5"/>
      <c r="K61" s="5"/>
      <c r="L61" s="5"/>
      <c r="M61" s="5"/>
      <c r="N61" s="5"/>
      <c r="O61" s="5"/>
      <c r="P61" s="5"/>
      <c r="Q61" s="5"/>
      <c r="R61" s="5"/>
      <c r="S61" s="5"/>
      <c r="T61" s="5"/>
      <c r="U61" s="5"/>
      <c r="V61" s="5"/>
      <c r="W61" s="5"/>
      <c r="X61" s="5"/>
    </row>
    <row r="62" spans="1:24" ht="15.75" customHeight="1" x14ac:dyDescent="0.2">
      <c r="A62" s="5"/>
      <c r="B62" s="5"/>
      <c r="C62" s="5"/>
      <c r="D62" s="5"/>
      <c r="E62" s="5"/>
      <c r="F62" s="5"/>
      <c r="G62" s="5"/>
      <c r="H62" s="5"/>
      <c r="I62" s="5"/>
      <c r="J62" s="5"/>
      <c r="K62" s="5"/>
      <c r="L62" s="5"/>
      <c r="M62" s="5"/>
      <c r="N62" s="5"/>
      <c r="O62" s="5"/>
      <c r="P62" s="5"/>
      <c r="Q62" s="5"/>
      <c r="R62" s="5"/>
      <c r="S62" s="5"/>
      <c r="T62" s="5"/>
      <c r="U62" s="5"/>
      <c r="V62" s="5"/>
      <c r="W62" s="5"/>
      <c r="X62" s="5"/>
    </row>
    <row r="63" spans="1:24" ht="15.75" customHeight="1" x14ac:dyDescent="0.2">
      <c r="A63" s="5"/>
      <c r="B63" s="5"/>
      <c r="C63" s="5"/>
      <c r="D63" s="5"/>
      <c r="E63" s="5"/>
      <c r="F63" s="5"/>
      <c r="G63" s="5"/>
      <c r="H63" s="5"/>
      <c r="I63" s="5"/>
      <c r="J63" s="5"/>
      <c r="K63" s="5"/>
      <c r="L63" s="5"/>
      <c r="M63" s="5"/>
      <c r="N63" s="5"/>
      <c r="O63" s="5"/>
      <c r="P63" s="5"/>
      <c r="Q63" s="5"/>
      <c r="R63" s="5"/>
      <c r="S63" s="5"/>
      <c r="T63" s="5"/>
      <c r="U63" s="5"/>
      <c r="V63" s="5"/>
      <c r="W63" s="5"/>
      <c r="X63" s="5"/>
    </row>
    <row r="64" spans="1:24" ht="15.75" customHeight="1" x14ac:dyDescent="0.2">
      <c r="A64" s="5"/>
      <c r="B64" s="5"/>
      <c r="C64" s="5"/>
      <c r="D64" s="5"/>
      <c r="E64" s="5"/>
      <c r="F64" s="5"/>
      <c r="G64" s="5"/>
      <c r="H64" s="5"/>
      <c r="I64" s="5"/>
      <c r="J64" s="5"/>
      <c r="K64" s="5"/>
      <c r="L64" s="5"/>
      <c r="M64" s="5"/>
      <c r="N64" s="5"/>
      <c r="O64" s="5"/>
      <c r="P64" s="5"/>
      <c r="Q64" s="5"/>
      <c r="R64" s="5"/>
      <c r="S64" s="5"/>
      <c r="T64" s="5"/>
      <c r="U64" s="5"/>
      <c r="V64" s="5"/>
      <c r="W64" s="5"/>
      <c r="X64" s="5"/>
    </row>
    <row r="65" spans="1:24" ht="15.75" customHeight="1" x14ac:dyDescent="0.2">
      <c r="A65" s="5"/>
      <c r="B65" s="5"/>
      <c r="C65" s="5"/>
      <c r="D65" s="5"/>
      <c r="E65" s="5"/>
      <c r="F65" s="5"/>
      <c r="G65" s="5"/>
      <c r="H65" s="5"/>
      <c r="I65" s="5"/>
      <c r="J65" s="5"/>
      <c r="K65" s="5"/>
      <c r="L65" s="5"/>
      <c r="M65" s="5"/>
      <c r="N65" s="5"/>
      <c r="O65" s="5"/>
      <c r="P65" s="5"/>
      <c r="Q65" s="5"/>
      <c r="R65" s="5"/>
      <c r="S65" s="5"/>
      <c r="T65" s="5"/>
      <c r="U65" s="5"/>
      <c r="V65" s="5"/>
      <c r="W65" s="5"/>
      <c r="X65" s="5"/>
    </row>
    <row r="66" spans="1:24" ht="15.75" customHeight="1" x14ac:dyDescent="0.2">
      <c r="A66" s="5"/>
      <c r="B66" s="5"/>
      <c r="C66" s="5"/>
      <c r="D66" s="5"/>
      <c r="E66" s="5"/>
      <c r="F66" s="5"/>
      <c r="G66" s="5"/>
      <c r="H66" s="5"/>
      <c r="I66" s="5"/>
      <c r="J66" s="5"/>
      <c r="K66" s="5"/>
      <c r="L66" s="5"/>
      <c r="M66" s="5"/>
      <c r="N66" s="5"/>
      <c r="O66" s="5"/>
      <c r="P66" s="5"/>
      <c r="Q66" s="5"/>
      <c r="R66" s="5"/>
      <c r="S66" s="5"/>
      <c r="T66" s="5"/>
      <c r="U66" s="5"/>
      <c r="V66" s="5"/>
      <c r="W66" s="5"/>
      <c r="X66" s="5"/>
    </row>
    <row r="67" spans="1:24" ht="15.75" customHeight="1" x14ac:dyDescent="0.2">
      <c r="A67" s="5"/>
      <c r="B67" s="5"/>
      <c r="C67" s="5"/>
      <c r="D67" s="5"/>
      <c r="E67" s="5"/>
      <c r="F67" s="5"/>
      <c r="G67" s="5"/>
      <c r="H67" s="5"/>
      <c r="I67" s="5"/>
      <c r="J67" s="5"/>
      <c r="K67" s="5"/>
      <c r="L67" s="5"/>
      <c r="M67" s="5"/>
      <c r="N67" s="5"/>
      <c r="O67" s="5"/>
      <c r="P67" s="5"/>
      <c r="Q67" s="5"/>
      <c r="R67" s="5"/>
      <c r="S67" s="5"/>
      <c r="T67" s="5"/>
      <c r="U67" s="5"/>
      <c r="V67" s="5"/>
      <c r="W67" s="5"/>
      <c r="X67" s="5"/>
    </row>
    <row r="68" spans="1:24" ht="15.75" customHeight="1" x14ac:dyDescent="0.2">
      <c r="A68" s="5"/>
      <c r="B68" s="5"/>
      <c r="C68" s="5"/>
      <c r="D68" s="5"/>
      <c r="E68" s="5"/>
      <c r="F68" s="5"/>
      <c r="G68" s="5"/>
      <c r="H68" s="5"/>
      <c r="I68" s="5"/>
      <c r="J68" s="5"/>
      <c r="K68" s="5"/>
      <c r="L68" s="5"/>
      <c r="M68" s="5"/>
      <c r="N68" s="5"/>
      <c r="O68" s="5"/>
      <c r="P68" s="5"/>
      <c r="Q68" s="5"/>
      <c r="R68" s="5"/>
      <c r="S68" s="5"/>
      <c r="T68" s="5"/>
      <c r="U68" s="5"/>
      <c r="V68" s="5"/>
      <c r="W68" s="5"/>
      <c r="X68" s="5"/>
    </row>
    <row r="69" spans="1:24" ht="15.75" customHeight="1" x14ac:dyDescent="0.2">
      <c r="A69" s="5"/>
      <c r="B69" s="5"/>
      <c r="C69" s="5"/>
      <c r="D69" s="5"/>
      <c r="E69" s="5"/>
      <c r="F69" s="5"/>
      <c r="G69" s="5"/>
      <c r="H69" s="5"/>
      <c r="I69" s="5"/>
      <c r="J69" s="5"/>
      <c r="K69" s="5"/>
      <c r="L69" s="5"/>
      <c r="M69" s="5"/>
      <c r="N69" s="5"/>
      <c r="O69" s="5"/>
      <c r="P69" s="5"/>
      <c r="Q69" s="5"/>
      <c r="R69" s="5"/>
      <c r="S69" s="5"/>
      <c r="T69" s="5"/>
      <c r="U69" s="5"/>
      <c r="V69" s="5"/>
      <c r="W69" s="5"/>
      <c r="X69" s="5"/>
    </row>
    <row r="70" spans="1:24" ht="15.75" customHeight="1" x14ac:dyDescent="0.2">
      <c r="A70" s="5"/>
      <c r="B70" s="5"/>
      <c r="C70" s="5"/>
      <c r="D70" s="5"/>
      <c r="E70" s="5"/>
      <c r="F70" s="5"/>
      <c r="G70" s="5"/>
      <c r="H70" s="5"/>
      <c r="I70" s="5"/>
      <c r="J70" s="5"/>
      <c r="K70" s="5"/>
      <c r="L70" s="5"/>
      <c r="M70" s="5"/>
      <c r="N70" s="5"/>
      <c r="O70" s="5"/>
      <c r="P70" s="5"/>
      <c r="Q70" s="5"/>
      <c r="R70" s="5"/>
      <c r="S70" s="5"/>
      <c r="T70" s="5"/>
      <c r="U70" s="5"/>
      <c r="V70" s="5"/>
      <c r="W70" s="5"/>
      <c r="X70" s="5"/>
    </row>
    <row r="71" spans="1:24" ht="15.75" customHeight="1" x14ac:dyDescent="0.2">
      <c r="A71" s="5"/>
      <c r="B71" s="5"/>
      <c r="C71" s="5"/>
      <c r="D71" s="5"/>
      <c r="E71" s="5"/>
      <c r="F71" s="5"/>
      <c r="G71" s="5"/>
      <c r="H71" s="5"/>
      <c r="I71" s="5"/>
      <c r="J71" s="5"/>
      <c r="K71" s="5"/>
      <c r="L71" s="5"/>
      <c r="M71" s="5"/>
      <c r="N71" s="5"/>
      <c r="O71" s="5"/>
      <c r="P71" s="5"/>
      <c r="Q71" s="5"/>
      <c r="R71" s="5"/>
      <c r="S71" s="5"/>
      <c r="T71" s="5"/>
      <c r="U71" s="5"/>
      <c r="V71" s="5"/>
      <c r="W71" s="5"/>
      <c r="X71" s="5"/>
    </row>
    <row r="72" spans="1:24" ht="15.75" customHeight="1" x14ac:dyDescent="0.2">
      <c r="A72" s="5"/>
      <c r="B72" s="5"/>
      <c r="C72" s="5"/>
      <c r="D72" s="5"/>
      <c r="E72" s="5"/>
      <c r="F72" s="5"/>
      <c r="G72" s="5"/>
      <c r="H72" s="5"/>
      <c r="I72" s="5"/>
      <c r="J72" s="5"/>
      <c r="K72" s="5"/>
      <c r="L72" s="5"/>
      <c r="M72" s="5"/>
      <c r="N72" s="5"/>
      <c r="O72" s="5"/>
      <c r="P72" s="5"/>
      <c r="Q72" s="5"/>
      <c r="R72" s="5"/>
      <c r="S72" s="5"/>
      <c r="T72" s="5"/>
      <c r="U72" s="5"/>
      <c r="V72" s="5"/>
      <c r="W72" s="5"/>
      <c r="X72" s="5"/>
    </row>
    <row r="73" spans="1:24" ht="15.75" customHeight="1" x14ac:dyDescent="0.2">
      <c r="A73" s="5"/>
      <c r="B73" s="5"/>
      <c r="C73" s="5"/>
      <c r="D73" s="5"/>
      <c r="E73" s="5"/>
      <c r="F73" s="5"/>
      <c r="G73" s="5"/>
      <c r="H73" s="5"/>
      <c r="I73" s="5"/>
      <c r="J73" s="5"/>
      <c r="K73" s="5"/>
      <c r="L73" s="5"/>
      <c r="M73" s="5"/>
      <c r="N73" s="5"/>
      <c r="O73" s="5"/>
      <c r="P73" s="5"/>
      <c r="Q73" s="5"/>
      <c r="R73" s="5"/>
      <c r="S73" s="5"/>
      <c r="T73" s="5"/>
      <c r="U73" s="5"/>
      <c r="V73" s="5"/>
      <c r="W73" s="5"/>
      <c r="X73" s="5"/>
    </row>
    <row r="74" spans="1:24" ht="15.75" customHeight="1" x14ac:dyDescent="0.2">
      <c r="A74" s="5"/>
      <c r="B74" s="5"/>
      <c r="C74" s="5"/>
      <c r="D74" s="5"/>
      <c r="E74" s="5"/>
      <c r="F74" s="5"/>
      <c r="G74" s="5"/>
      <c r="H74" s="5"/>
      <c r="I74" s="5"/>
      <c r="J74" s="5"/>
      <c r="K74" s="5"/>
      <c r="L74" s="5"/>
      <c r="M74" s="5"/>
      <c r="N74" s="5"/>
      <c r="O74" s="5"/>
      <c r="P74" s="5"/>
      <c r="Q74" s="5"/>
      <c r="R74" s="5"/>
      <c r="S74" s="5"/>
      <c r="T74" s="5"/>
      <c r="U74" s="5"/>
      <c r="V74" s="5"/>
      <c r="W74" s="5"/>
      <c r="X74" s="5"/>
    </row>
    <row r="75" spans="1:24" ht="15.75" customHeight="1" x14ac:dyDescent="0.2">
      <c r="A75" s="5"/>
      <c r="B75" s="5"/>
      <c r="C75" s="5"/>
      <c r="D75" s="5"/>
      <c r="E75" s="5"/>
      <c r="F75" s="5"/>
      <c r="G75" s="5"/>
      <c r="H75" s="5"/>
      <c r="I75" s="5"/>
      <c r="J75" s="5"/>
      <c r="K75" s="5"/>
      <c r="L75" s="5"/>
      <c r="M75" s="5"/>
      <c r="N75" s="5"/>
      <c r="O75" s="5"/>
      <c r="P75" s="5"/>
      <c r="Q75" s="5"/>
      <c r="R75" s="5"/>
      <c r="S75" s="5"/>
      <c r="T75" s="5"/>
      <c r="U75" s="5"/>
      <c r="V75" s="5"/>
      <c r="W75" s="5"/>
      <c r="X75" s="5"/>
    </row>
    <row r="76" spans="1:24" ht="15.75" customHeight="1" x14ac:dyDescent="0.2">
      <c r="A76" s="5"/>
      <c r="B76" s="5"/>
      <c r="C76" s="5"/>
      <c r="D76" s="5"/>
      <c r="E76" s="5"/>
      <c r="F76" s="5"/>
      <c r="G76" s="5"/>
      <c r="H76" s="5"/>
      <c r="I76" s="5"/>
      <c r="J76" s="5"/>
      <c r="K76" s="5"/>
      <c r="L76" s="5"/>
      <c r="M76" s="5"/>
      <c r="N76" s="5"/>
      <c r="O76" s="5"/>
      <c r="P76" s="5"/>
      <c r="Q76" s="5"/>
      <c r="R76" s="5"/>
      <c r="S76" s="5"/>
      <c r="T76" s="5"/>
      <c r="U76" s="5"/>
      <c r="V76" s="5"/>
      <c r="W76" s="5"/>
      <c r="X76" s="5"/>
    </row>
    <row r="77" spans="1:24" ht="15.75" customHeight="1" x14ac:dyDescent="0.2">
      <c r="A77" s="5"/>
      <c r="B77" s="5"/>
      <c r="C77" s="5"/>
      <c r="D77" s="5"/>
      <c r="E77" s="5"/>
      <c r="F77" s="5"/>
      <c r="G77" s="5"/>
      <c r="H77" s="5"/>
      <c r="I77" s="5"/>
      <c r="J77" s="5"/>
      <c r="K77" s="5"/>
      <c r="L77" s="5"/>
      <c r="M77" s="5"/>
      <c r="N77" s="5"/>
      <c r="O77" s="5"/>
      <c r="P77" s="5"/>
      <c r="Q77" s="5"/>
      <c r="R77" s="5"/>
      <c r="S77" s="5"/>
      <c r="T77" s="5"/>
      <c r="U77" s="5"/>
      <c r="V77" s="5"/>
      <c r="W77" s="5"/>
      <c r="X77" s="5"/>
    </row>
    <row r="78" spans="1:24" ht="15.75" customHeight="1" x14ac:dyDescent="0.2">
      <c r="A78" s="5"/>
      <c r="B78" s="5"/>
      <c r="C78" s="5"/>
      <c r="D78" s="5"/>
      <c r="E78" s="5"/>
      <c r="F78" s="5"/>
      <c r="G78" s="5"/>
      <c r="H78" s="5"/>
      <c r="I78" s="5"/>
      <c r="J78" s="5"/>
      <c r="K78" s="5"/>
      <c r="L78" s="5"/>
      <c r="M78" s="5"/>
      <c r="N78" s="5"/>
      <c r="O78" s="5"/>
      <c r="P78" s="5"/>
      <c r="Q78" s="5"/>
      <c r="R78" s="5"/>
      <c r="S78" s="5"/>
      <c r="T78" s="5"/>
      <c r="U78" s="5"/>
      <c r="V78" s="5"/>
      <c r="W78" s="5"/>
      <c r="X78" s="5"/>
    </row>
    <row r="79" spans="1:24" ht="15.75" customHeight="1" x14ac:dyDescent="0.2">
      <c r="A79" s="5"/>
      <c r="B79" s="5"/>
      <c r="C79" s="5"/>
      <c r="D79" s="5"/>
      <c r="E79" s="5"/>
      <c r="F79" s="5"/>
      <c r="G79" s="5"/>
      <c r="H79" s="5"/>
      <c r="I79" s="5"/>
      <c r="J79" s="5"/>
      <c r="K79" s="5"/>
      <c r="L79" s="5"/>
      <c r="M79" s="5"/>
      <c r="N79" s="5"/>
      <c r="O79" s="5"/>
      <c r="P79" s="5"/>
      <c r="Q79" s="5"/>
      <c r="R79" s="5"/>
      <c r="S79" s="5"/>
      <c r="T79" s="5"/>
      <c r="U79" s="5"/>
      <c r="V79" s="5"/>
      <c r="W79" s="5"/>
      <c r="X79" s="5"/>
    </row>
    <row r="80" spans="1:24" ht="15.75" customHeight="1" x14ac:dyDescent="0.2">
      <c r="A80" s="5"/>
      <c r="B80" s="5"/>
      <c r="C80" s="5"/>
      <c r="D80" s="5"/>
      <c r="E80" s="5"/>
      <c r="F80" s="5"/>
      <c r="G80" s="5"/>
      <c r="H80" s="5"/>
      <c r="I80" s="5"/>
      <c r="J80" s="5"/>
      <c r="K80" s="5"/>
      <c r="L80" s="5"/>
      <c r="M80" s="5"/>
      <c r="N80" s="5"/>
      <c r="O80" s="5"/>
      <c r="P80" s="5"/>
      <c r="Q80" s="5"/>
      <c r="R80" s="5"/>
      <c r="S80" s="5"/>
      <c r="T80" s="5"/>
      <c r="U80" s="5"/>
      <c r="V80" s="5"/>
      <c r="W80" s="5"/>
      <c r="X80" s="5"/>
    </row>
    <row r="81" spans="1:24" ht="15.75" customHeight="1" x14ac:dyDescent="0.2">
      <c r="A81" s="5"/>
      <c r="B81" s="5"/>
      <c r="C81" s="5"/>
      <c r="D81" s="5"/>
      <c r="E81" s="5"/>
      <c r="F81" s="5"/>
      <c r="G81" s="5"/>
      <c r="H81" s="5"/>
      <c r="I81" s="5"/>
      <c r="J81" s="5"/>
      <c r="K81" s="5"/>
      <c r="L81" s="5"/>
      <c r="M81" s="5"/>
      <c r="N81" s="5"/>
      <c r="O81" s="5"/>
      <c r="P81" s="5"/>
      <c r="Q81" s="5"/>
      <c r="R81" s="5"/>
      <c r="S81" s="5"/>
      <c r="T81" s="5"/>
      <c r="U81" s="5"/>
      <c r="V81" s="5"/>
      <c r="W81" s="5"/>
      <c r="X81" s="5"/>
    </row>
    <row r="82" spans="1:24" ht="15.75" customHeight="1" x14ac:dyDescent="0.2">
      <c r="A82" s="5"/>
      <c r="B82" s="5"/>
      <c r="C82" s="5"/>
      <c r="D82" s="5"/>
      <c r="E82" s="5"/>
      <c r="F82" s="5"/>
      <c r="G82" s="5"/>
      <c r="H82" s="5"/>
      <c r="I82" s="5"/>
      <c r="J82" s="5"/>
      <c r="K82" s="5"/>
      <c r="L82" s="5"/>
      <c r="M82" s="5"/>
      <c r="N82" s="5"/>
      <c r="O82" s="5"/>
      <c r="P82" s="5"/>
      <c r="Q82" s="5"/>
      <c r="R82" s="5"/>
      <c r="S82" s="5"/>
      <c r="T82" s="5"/>
      <c r="U82" s="5"/>
      <c r="V82" s="5"/>
      <c r="W82" s="5"/>
      <c r="X82" s="5"/>
    </row>
    <row r="83" spans="1:24" ht="15.75" customHeight="1" x14ac:dyDescent="0.2">
      <c r="A83" s="5"/>
      <c r="B83" s="5"/>
      <c r="C83" s="5"/>
      <c r="D83" s="5"/>
      <c r="E83" s="5"/>
      <c r="F83" s="5"/>
      <c r="G83" s="5"/>
      <c r="H83" s="5"/>
      <c r="I83" s="5"/>
      <c r="J83" s="5"/>
      <c r="K83" s="5"/>
      <c r="L83" s="5"/>
      <c r="M83" s="5"/>
      <c r="N83" s="5"/>
      <c r="O83" s="5"/>
      <c r="P83" s="5"/>
      <c r="Q83" s="5"/>
      <c r="R83" s="5"/>
      <c r="S83" s="5"/>
      <c r="T83" s="5"/>
      <c r="U83" s="5"/>
      <c r="V83" s="5"/>
      <c r="W83" s="5"/>
      <c r="X83" s="5"/>
    </row>
    <row r="84" spans="1:24" ht="15.75" customHeight="1" x14ac:dyDescent="0.2">
      <c r="A84" s="5"/>
      <c r="B84" s="5"/>
      <c r="C84" s="5"/>
      <c r="D84" s="5"/>
      <c r="E84" s="5"/>
      <c r="F84" s="5"/>
      <c r="G84" s="5"/>
      <c r="H84" s="5"/>
      <c r="I84" s="5"/>
      <c r="J84" s="5"/>
      <c r="K84" s="5"/>
      <c r="L84" s="5"/>
      <c r="M84" s="5"/>
      <c r="N84" s="5"/>
      <c r="O84" s="5"/>
      <c r="P84" s="5"/>
      <c r="Q84" s="5"/>
      <c r="R84" s="5"/>
      <c r="S84" s="5"/>
      <c r="T84" s="5"/>
      <c r="U84" s="5"/>
      <c r="V84" s="5"/>
      <c r="W84" s="5"/>
      <c r="X84" s="5"/>
    </row>
    <row r="85" spans="1:24" ht="15.75" customHeight="1" x14ac:dyDescent="0.2">
      <c r="A85" s="5"/>
      <c r="B85" s="5"/>
      <c r="C85" s="5"/>
      <c r="D85" s="5"/>
      <c r="E85" s="5"/>
      <c r="F85" s="5"/>
      <c r="G85" s="5"/>
      <c r="H85" s="5"/>
      <c r="I85" s="5"/>
      <c r="J85" s="5"/>
      <c r="K85" s="5"/>
      <c r="L85" s="5"/>
      <c r="M85" s="5"/>
      <c r="N85" s="5"/>
      <c r="O85" s="5"/>
      <c r="P85" s="5"/>
      <c r="Q85" s="5"/>
      <c r="R85" s="5"/>
      <c r="S85" s="5"/>
      <c r="T85" s="5"/>
      <c r="U85" s="5"/>
      <c r="V85" s="5"/>
      <c r="W85" s="5"/>
      <c r="X85" s="5"/>
    </row>
    <row r="86" spans="1:24" ht="15.75" customHeight="1" x14ac:dyDescent="0.2">
      <c r="A86" s="5"/>
      <c r="B86" s="5"/>
      <c r="C86" s="5"/>
      <c r="D86" s="5"/>
      <c r="E86" s="5"/>
      <c r="F86" s="5"/>
      <c r="G86" s="5"/>
      <c r="H86" s="5"/>
      <c r="I86" s="5"/>
      <c r="J86" s="5"/>
      <c r="K86" s="5"/>
      <c r="L86" s="5"/>
      <c r="M86" s="5"/>
      <c r="N86" s="5"/>
      <c r="O86" s="5"/>
      <c r="P86" s="5"/>
      <c r="Q86" s="5"/>
      <c r="R86" s="5"/>
      <c r="S86" s="5"/>
      <c r="T86" s="5"/>
      <c r="U86" s="5"/>
      <c r="V86" s="5"/>
      <c r="W86" s="5"/>
      <c r="X86" s="5"/>
    </row>
    <row r="87" spans="1:24" ht="15.75" customHeight="1" x14ac:dyDescent="0.2">
      <c r="A87" s="5"/>
      <c r="B87" s="5"/>
      <c r="C87" s="5"/>
      <c r="D87" s="5"/>
      <c r="E87" s="5"/>
      <c r="F87" s="5"/>
      <c r="G87" s="5"/>
      <c r="H87" s="5"/>
      <c r="I87" s="5"/>
      <c r="J87" s="5"/>
      <c r="K87" s="5"/>
      <c r="L87" s="5"/>
      <c r="M87" s="5"/>
      <c r="N87" s="5"/>
      <c r="O87" s="5"/>
      <c r="P87" s="5"/>
      <c r="Q87" s="5"/>
      <c r="R87" s="5"/>
      <c r="S87" s="5"/>
      <c r="T87" s="5"/>
      <c r="U87" s="5"/>
      <c r="V87" s="5"/>
      <c r="W87" s="5"/>
      <c r="X87" s="5"/>
    </row>
    <row r="88" spans="1:24" ht="15.75" customHeight="1" x14ac:dyDescent="0.2">
      <c r="A88" s="5"/>
      <c r="B88" s="5"/>
      <c r="C88" s="5"/>
      <c r="D88" s="5"/>
      <c r="E88" s="5"/>
      <c r="F88" s="5"/>
      <c r="G88" s="5"/>
      <c r="H88" s="5"/>
      <c r="I88" s="5"/>
      <c r="J88" s="5"/>
      <c r="K88" s="5"/>
      <c r="L88" s="5"/>
      <c r="M88" s="5"/>
      <c r="N88" s="5"/>
      <c r="O88" s="5"/>
      <c r="P88" s="5"/>
      <c r="Q88" s="5"/>
      <c r="R88" s="5"/>
      <c r="S88" s="5"/>
      <c r="T88" s="5"/>
      <c r="U88" s="5"/>
      <c r="V88" s="5"/>
      <c r="W88" s="5"/>
      <c r="X88" s="5"/>
    </row>
    <row r="89" spans="1:24" ht="15.75" customHeight="1" x14ac:dyDescent="0.2">
      <c r="A89" s="5"/>
      <c r="B89" s="5"/>
      <c r="C89" s="5"/>
      <c r="D89" s="5"/>
      <c r="E89" s="5"/>
      <c r="F89" s="5"/>
      <c r="G89" s="5"/>
      <c r="H89" s="5"/>
      <c r="I89" s="5"/>
      <c r="J89" s="5"/>
      <c r="K89" s="5"/>
      <c r="L89" s="5"/>
      <c r="M89" s="5"/>
      <c r="N89" s="5"/>
      <c r="O89" s="5"/>
      <c r="P89" s="5"/>
      <c r="Q89" s="5"/>
      <c r="R89" s="5"/>
      <c r="S89" s="5"/>
      <c r="T89" s="5"/>
      <c r="U89" s="5"/>
      <c r="V89" s="5"/>
      <c r="W89" s="5"/>
      <c r="X89" s="5"/>
    </row>
    <row r="90" spans="1:24" ht="15.75" customHeight="1" x14ac:dyDescent="0.2">
      <c r="A90" s="5"/>
      <c r="B90" s="5"/>
      <c r="C90" s="5"/>
      <c r="D90" s="5"/>
      <c r="E90" s="5"/>
      <c r="F90" s="5"/>
      <c r="G90" s="5"/>
      <c r="H90" s="5"/>
      <c r="I90" s="5"/>
      <c r="J90" s="5"/>
      <c r="K90" s="5"/>
      <c r="L90" s="5"/>
      <c r="M90" s="5"/>
      <c r="N90" s="5"/>
      <c r="O90" s="5"/>
      <c r="P90" s="5"/>
      <c r="Q90" s="5"/>
      <c r="R90" s="5"/>
      <c r="S90" s="5"/>
      <c r="T90" s="5"/>
      <c r="U90" s="5"/>
      <c r="V90" s="5"/>
      <c r="W90" s="5"/>
      <c r="X90" s="5"/>
    </row>
    <row r="91" spans="1:24" ht="15.75" customHeight="1" x14ac:dyDescent="0.2">
      <c r="A91" s="5"/>
      <c r="B91" s="5"/>
      <c r="C91" s="5"/>
      <c r="D91" s="5"/>
      <c r="E91" s="5"/>
      <c r="F91" s="5"/>
      <c r="G91" s="5"/>
      <c r="H91" s="5"/>
      <c r="I91" s="5"/>
      <c r="J91" s="5"/>
      <c r="K91" s="5"/>
      <c r="L91" s="5"/>
      <c r="M91" s="5"/>
      <c r="N91" s="5"/>
      <c r="O91" s="5"/>
      <c r="P91" s="5"/>
      <c r="Q91" s="5"/>
      <c r="R91" s="5"/>
      <c r="S91" s="5"/>
      <c r="T91" s="5"/>
      <c r="U91" s="5"/>
      <c r="V91" s="5"/>
      <c r="W91" s="5"/>
      <c r="X91" s="5"/>
    </row>
    <row r="92" spans="1:24" ht="15.75" customHeight="1" x14ac:dyDescent="0.2">
      <c r="A92" s="5"/>
      <c r="B92" s="5"/>
      <c r="C92" s="5"/>
      <c r="D92" s="5"/>
      <c r="E92" s="5"/>
      <c r="F92" s="5"/>
      <c r="G92" s="5"/>
      <c r="H92" s="5"/>
      <c r="I92" s="5"/>
      <c r="J92" s="5"/>
      <c r="K92" s="5"/>
      <c r="L92" s="5"/>
      <c r="M92" s="5"/>
      <c r="N92" s="5"/>
      <c r="O92" s="5"/>
      <c r="P92" s="5"/>
      <c r="Q92" s="5"/>
      <c r="R92" s="5"/>
      <c r="S92" s="5"/>
      <c r="T92" s="5"/>
      <c r="U92" s="5"/>
      <c r="V92" s="5"/>
      <c r="W92" s="5"/>
      <c r="X92" s="5"/>
    </row>
    <row r="93" spans="1:24" ht="15.75" customHeight="1" x14ac:dyDescent="0.2">
      <c r="A93" s="5"/>
      <c r="B93" s="5"/>
      <c r="C93" s="5"/>
      <c r="D93" s="5"/>
      <c r="E93" s="5"/>
      <c r="F93" s="5"/>
      <c r="G93" s="5"/>
      <c r="H93" s="5"/>
      <c r="I93" s="5"/>
      <c r="J93" s="5"/>
      <c r="K93" s="5"/>
      <c r="L93" s="5"/>
      <c r="M93" s="5"/>
      <c r="N93" s="5"/>
      <c r="O93" s="5"/>
      <c r="P93" s="5"/>
      <c r="Q93" s="5"/>
      <c r="R93" s="5"/>
      <c r="S93" s="5"/>
      <c r="T93" s="5"/>
      <c r="U93" s="5"/>
      <c r="V93" s="5"/>
      <c r="W93" s="5"/>
      <c r="X93" s="5"/>
    </row>
    <row r="94" spans="1:24" ht="15.75" customHeight="1" x14ac:dyDescent="0.2">
      <c r="A94" s="5"/>
      <c r="B94" s="5"/>
      <c r="C94" s="5"/>
      <c r="D94" s="5"/>
      <c r="E94" s="5"/>
      <c r="F94" s="5"/>
      <c r="G94" s="5"/>
      <c r="H94" s="5"/>
      <c r="I94" s="5"/>
      <c r="J94" s="5"/>
      <c r="K94" s="5"/>
      <c r="L94" s="5"/>
      <c r="M94" s="5"/>
      <c r="N94" s="5"/>
      <c r="O94" s="5"/>
      <c r="P94" s="5"/>
      <c r="Q94" s="5"/>
      <c r="R94" s="5"/>
      <c r="S94" s="5"/>
      <c r="T94" s="5"/>
      <c r="U94" s="5"/>
      <c r="V94" s="5"/>
      <c r="W94" s="5"/>
      <c r="X94" s="5"/>
    </row>
    <row r="95" spans="1:24" ht="15.75" customHeight="1" x14ac:dyDescent="0.2">
      <c r="A95" s="5"/>
      <c r="B95" s="5"/>
      <c r="C95" s="5"/>
      <c r="D95" s="5"/>
      <c r="E95" s="5"/>
      <c r="F95" s="5"/>
      <c r="G95" s="5"/>
      <c r="H95" s="5"/>
      <c r="I95" s="5"/>
      <c r="J95" s="5"/>
      <c r="K95" s="5"/>
      <c r="L95" s="5"/>
      <c r="M95" s="5"/>
      <c r="N95" s="5"/>
      <c r="O95" s="5"/>
      <c r="P95" s="5"/>
      <c r="Q95" s="5"/>
      <c r="R95" s="5"/>
      <c r="S95" s="5"/>
      <c r="T95" s="5"/>
      <c r="U95" s="5"/>
      <c r="V95" s="5"/>
      <c r="W95" s="5"/>
      <c r="X95" s="5"/>
    </row>
    <row r="96" spans="1:24" ht="15.75" customHeight="1" x14ac:dyDescent="0.2">
      <c r="A96" s="5"/>
      <c r="B96" s="5"/>
      <c r="C96" s="5"/>
      <c r="D96" s="5"/>
      <c r="E96" s="5"/>
      <c r="F96" s="5"/>
      <c r="G96" s="5"/>
      <c r="H96" s="5"/>
      <c r="I96" s="5"/>
      <c r="J96" s="5"/>
      <c r="K96" s="5"/>
      <c r="L96" s="5"/>
      <c r="M96" s="5"/>
      <c r="N96" s="5"/>
      <c r="O96" s="5"/>
      <c r="P96" s="5"/>
      <c r="Q96" s="5"/>
      <c r="R96" s="5"/>
      <c r="S96" s="5"/>
      <c r="T96" s="5"/>
      <c r="U96" s="5"/>
      <c r="V96" s="5"/>
      <c r="W96" s="5"/>
      <c r="X96" s="5"/>
    </row>
    <row r="97" spans="1:24" ht="15.75" customHeight="1" x14ac:dyDescent="0.2">
      <c r="A97" s="5"/>
      <c r="B97" s="5"/>
      <c r="C97" s="5"/>
      <c r="D97" s="5"/>
      <c r="E97" s="5"/>
      <c r="F97" s="5"/>
      <c r="G97" s="5"/>
      <c r="H97" s="5"/>
      <c r="I97" s="5"/>
      <c r="J97" s="5"/>
      <c r="K97" s="5"/>
      <c r="L97" s="5"/>
      <c r="M97" s="5"/>
      <c r="N97" s="5"/>
      <c r="O97" s="5"/>
      <c r="P97" s="5"/>
      <c r="Q97" s="5"/>
      <c r="R97" s="5"/>
      <c r="S97" s="5"/>
      <c r="T97" s="5"/>
      <c r="U97" s="5"/>
      <c r="V97" s="5"/>
      <c r="W97" s="5"/>
      <c r="X97" s="5"/>
    </row>
    <row r="98" spans="1:24" ht="15.75" customHeight="1" x14ac:dyDescent="0.2">
      <c r="A98" s="5"/>
      <c r="B98" s="5"/>
      <c r="C98" s="5"/>
      <c r="D98" s="5"/>
      <c r="E98" s="5"/>
      <c r="F98" s="5"/>
      <c r="G98" s="5"/>
      <c r="H98" s="5"/>
      <c r="I98" s="5"/>
      <c r="J98" s="5"/>
      <c r="K98" s="5"/>
      <c r="L98" s="5"/>
      <c r="M98" s="5"/>
      <c r="N98" s="5"/>
      <c r="O98" s="5"/>
      <c r="P98" s="5"/>
      <c r="Q98" s="5"/>
      <c r="R98" s="5"/>
      <c r="S98" s="5"/>
      <c r="T98" s="5"/>
      <c r="U98" s="5"/>
      <c r="V98" s="5"/>
      <c r="W98" s="5"/>
      <c r="X98" s="5"/>
    </row>
    <row r="99" spans="1:24" ht="15.75" customHeight="1" x14ac:dyDescent="0.2">
      <c r="A99" s="5"/>
      <c r="B99" s="5"/>
      <c r="C99" s="5"/>
      <c r="D99" s="5"/>
      <c r="E99" s="5"/>
      <c r="F99" s="5"/>
      <c r="G99" s="5"/>
      <c r="H99" s="5"/>
      <c r="I99" s="5"/>
      <c r="J99" s="5"/>
      <c r="K99" s="5"/>
      <c r="L99" s="5"/>
      <c r="M99" s="5"/>
      <c r="N99" s="5"/>
      <c r="O99" s="5"/>
      <c r="P99" s="5"/>
      <c r="Q99" s="5"/>
      <c r="R99" s="5"/>
      <c r="S99" s="5"/>
      <c r="T99" s="5"/>
      <c r="U99" s="5"/>
      <c r="V99" s="5"/>
      <c r="W99" s="5"/>
      <c r="X99" s="5"/>
    </row>
    <row r="100" spans="1:24"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row>
    <row r="101" spans="1:24"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row>
    <row r="102" spans="1:24"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spans="1:24"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row>
    <row r="104" spans="1:24"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row>
    <row r="105" spans="1:24"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row>
    <row r="106" spans="1:24"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row>
    <row r="107" spans="1:24"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row>
    <row r="108" spans="1:24"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row>
    <row r="109" spans="1:24"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row>
    <row r="110" spans="1:24"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row>
    <row r="111" spans="1:24"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row>
    <row r="112" spans="1:24"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row>
    <row r="113" spans="1:24"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row>
    <row r="114" spans="1:24"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row>
    <row r="115" spans="1:24"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row>
    <row r="116" spans="1:24"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row>
    <row r="117" spans="1:24"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row>
    <row r="118" spans="1:24"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row>
    <row r="119" spans="1:24"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row>
    <row r="120" spans="1:24"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row>
    <row r="121" spans="1:24"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row>
    <row r="122" spans="1:24"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row>
    <row r="123" spans="1:24"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row>
    <row r="124" spans="1:24"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row>
    <row r="125" spans="1:24"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row>
    <row r="126" spans="1:24"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row>
    <row r="127" spans="1:24"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row>
    <row r="128" spans="1:24"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row>
    <row r="129" spans="1:24"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row>
    <row r="130" spans="1:24"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row>
    <row r="131" spans="1:24"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row>
    <row r="132" spans="1:24"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row>
    <row r="133" spans="1:24"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row>
    <row r="134" spans="1:24"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row>
    <row r="135" spans="1:24"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row>
    <row r="136" spans="1:24"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row>
    <row r="137" spans="1:24"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row>
    <row r="138" spans="1:24"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row>
    <row r="139" spans="1:24"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row>
    <row r="140" spans="1:24"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row>
    <row r="141" spans="1:24"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row>
    <row r="142" spans="1:24"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row>
    <row r="143" spans="1:24"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row>
    <row r="144" spans="1:24"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row>
    <row r="145" spans="1:24"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row>
    <row r="146" spans="1:24"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row>
    <row r="147" spans="1:24"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row>
    <row r="148" spans="1:24"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row>
    <row r="149" spans="1:24"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row>
    <row r="150" spans="1:24"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row>
    <row r="151" spans="1:24"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row>
    <row r="152" spans="1:24"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row>
    <row r="153" spans="1:24"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row>
    <row r="154" spans="1:24"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row>
    <row r="155" spans="1:24"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row>
    <row r="156" spans="1:24"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row>
    <row r="157" spans="1:24"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row>
    <row r="158" spans="1:24"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row>
    <row r="159" spans="1:24"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row>
    <row r="160" spans="1:24"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row>
    <row r="161" spans="1:24"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row>
    <row r="162" spans="1:24"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row>
    <row r="163" spans="1:24"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row>
    <row r="164" spans="1:24"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row>
    <row r="165" spans="1:24"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row>
    <row r="166" spans="1:24"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row>
    <row r="167" spans="1:24"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row>
    <row r="168" spans="1:24"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row>
    <row r="169" spans="1:24"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row>
    <row r="170" spans="1:24"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row>
    <row r="171" spans="1:24"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row>
    <row r="172" spans="1:24"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row>
    <row r="173" spans="1:24"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row>
    <row r="174" spans="1:24"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row>
    <row r="175" spans="1:24"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row>
    <row r="176" spans="1:24"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row>
    <row r="177" spans="1:24"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row>
    <row r="178" spans="1:24"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row>
    <row r="179" spans="1:24"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row>
    <row r="180" spans="1:24"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row>
    <row r="181" spans="1:24"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row>
    <row r="182" spans="1:24"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row>
    <row r="183" spans="1:24"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row>
    <row r="184" spans="1:24"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row>
    <row r="185" spans="1:24"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row>
    <row r="186" spans="1:24"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row>
    <row r="187" spans="1:24"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row>
    <row r="188" spans="1:24"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row>
    <row r="189" spans="1:24"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row>
    <row r="190" spans="1:24"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row>
    <row r="191" spans="1:24"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row>
    <row r="192" spans="1:24"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row>
    <row r="193" spans="1:24"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row>
    <row r="194" spans="1:24"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row>
    <row r="195" spans="1:24"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row>
    <row r="196" spans="1:24"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row>
    <row r="197" spans="1:24"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row>
    <row r="198" spans="1:24"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row>
    <row r="199" spans="1:24"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row>
    <row r="200" spans="1:24"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row>
    <row r="201" spans="1:24"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row>
    <row r="202" spans="1:24"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spans="1:24"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row>
    <row r="204" spans="1:24"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row>
    <row r="205" spans="1:24"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row>
    <row r="206" spans="1:24"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row>
    <row r="207" spans="1:24"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row>
    <row r="208" spans="1:24"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row>
    <row r="209" spans="1:24"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row>
    <row r="210" spans="1:24"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row>
    <row r="211" spans="1:24"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row>
    <row r="212" spans="1:24"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row>
    <row r="213" spans="1:24"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row>
    <row r="214" spans="1:24"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row>
    <row r="215" spans="1:24"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row>
    <row r="216" spans="1:24"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row>
    <row r="217" spans="1:24"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row>
    <row r="218" spans="1:24"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row>
    <row r="219" spans="1:24"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row>
    <row r="220" spans="1:24"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row>
    <row r="221" spans="1:24"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row>
    <row r="222" spans="1:24"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row>
    <row r="223" spans="1:24"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row>
    <row r="224" spans="1:24"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row>
    <row r="225" spans="1:24"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row>
    <row r="226" spans="1:24"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row>
    <row r="227" spans="1:24"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row>
    <row r="228" spans="1:24"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row>
    <row r="229" spans="1:24"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row>
    <row r="230" spans="1:24"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row>
    <row r="231" spans="1:24"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row>
    <row r="232" spans="1:24"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row>
    <row r="233" spans="1:24"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row>
    <row r="234" spans="1:24"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row>
    <row r="235" spans="1:24"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row>
    <row r="236" spans="1:24"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row>
    <row r="237" spans="1:24"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row>
    <row r="238" spans="1:24"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row>
    <row r="239" spans="1:24"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row>
    <row r="240" spans="1:24"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row>
    <row r="241" spans="1:24"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row>
    <row r="242" spans="1:24"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row>
    <row r="243" spans="1:24"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row>
    <row r="244" spans="1:24"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row>
    <row r="245" spans="1:24"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row>
    <row r="246" spans="1:24"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row>
    <row r="247" spans="1:24"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row>
    <row r="248" spans="1:24"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row>
    <row r="249" spans="1:24"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row>
    <row r="250" spans="1:24"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row>
    <row r="251" spans="1:24"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row>
    <row r="252" spans="1:24"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row>
    <row r="253" spans="1:24"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row>
    <row r="254" spans="1:24"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row>
    <row r="255" spans="1:24"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row>
    <row r="256" spans="1:24"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row>
    <row r="257" spans="1:24"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row>
    <row r="258" spans="1:24"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row>
    <row r="259" spans="1:24"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row>
    <row r="260" spans="1:24"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row>
    <row r="261" spans="1:24"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row>
    <row r="262" spans="1:24"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row>
    <row r="263" spans="1:24"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row>
    <row r="264" spans="1:24"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row>
    <row r="265" spans="1:24"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row>
    <row r="266" spans="1:24"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row>
    <row r="267" spans="1:24"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row>
    <row r="268" spans="1:24"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row>
    <row r="269" spans="1:24"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row>
    <row r="270" spans="1:24"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row>
    <row r="271" spans="1:24"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row>
    <row r="272" spans="1:24"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row>
    <row r="273" spans="1:24"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row>
    <row r="274" spans="1:24"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row>
    <row r="275" spans="1:24"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row>
    <row r="276" spans="1:24"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row>
    <row r="277" spans="1:24"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row>
    <row r="278" spans="1:24"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row>
    <row r="279" spans="1:24"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row>
    <row r="280" spans="1:24"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row>
    <row r="281" spans="1:24"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row>
    <row r="282" spans="1:24"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row>
    <row r="283" spans="1:24"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row>
    <row r="284" spans="1:24"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row>
    <row r="285" spans="1:24"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row>
    <row r="286" spans="1:24"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row>
    <row r="287" spans="1:24"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row>
    <row r="288" spans="1:24"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row>
    <row r="289" spans="1:24"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row>
    <row r="290" spans="1:24"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row>
    <row r="291" spans="1:24"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row>
    <row r="292" spans="1:24"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row>
    <row r="293" spans="1:24"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row>
    <row r="294" spans="1:24"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row>
    <row r="295" spans="1:24"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row>
    <row r="296" spans="1:24"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row>
    <row r="297" spans="1:24"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row>
    <row r="298" spans="1:24"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row>
    <row r="299" spans="1:24"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row>
    <row r="300" spans="1:24"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row>
    <row r="301" spans="1:24"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row>
    <row r="302" spans="1:24"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spans="1:24"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row>
    <row r="304" spans="1:24"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row>
    <row r="305" spans="1:24"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row>
    <row r="306" spans="1:24"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row>
    <row r="307" spans="1:24"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row>
    <row r="308" spans="1:24"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row>
    <row r="309" spans="1:24"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row>
    <row r="310" spans="1:24"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row>
    <row r="311" spans="1:24"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row>
    <row r="312" spans="1:24"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row>
    <row r="313" spans="1:24"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row>
    <row r="314" spans="1:24"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row>
    <row r="315" spans="1:24"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row>
    <row r="316" spans="1:24"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row>
    <row r="317" spans="1:24"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row>
    <row r="318" spans="1:24"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row>
    <row r="319" spans="1:24"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row>
    <row r="320" spans="1:24"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row>
    <row r="321" spans="1:24"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row>
    <row r="322" spans="1:24"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row>
    <row r="323" spans="1:24"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row>
    <row r="324" spans="1:24"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row>
    <row r="325" spans="1:24"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row>
    <row r="326" spans="1:24"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row>
    <row r="327" spans="1:24"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row>
    <row r="328" spans="1:24"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row>
    <row r="329" spans="1:24"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row>
    <row r="330" spans="1:24"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row>
    <row r="331" spans="1:24"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row>
    <row r="332" spans="1:24"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row>
    <row r="333" spans="1:24"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row>
    <row r="334" spans="1:24"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row>
    <row r="335" spans="1:24"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row>
    <row r="336" spans="1:24"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row>
    <row r="337" spans="1:24"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row>
    <row r="338" spans="1:24"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row>
    <row r="339" spans="1:24"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row>
    <row r="340" spans="1:24"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row>
    <row r="341" spans="1:24"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row>
    <row r="342" spans="1:24"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row>
    <row r="343" spans="1:24"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row>
    <row r="344" spans="1:24"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row>
    <row r="345" spans="1:24"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row>
    <row r="346" spans="1:24"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row>
    <row r="347" spans="1:24"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row>
    <row r="348" spans="1:24"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row>
    <row r="349" spans="1:24"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row>
    <row r="350" spans="1:24"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row>
    <row r="351" spans="1:24"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row>
    <row r="352" spans="1:24"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row>
    <row r="353" spans="1:24"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row>
    <row r="354" spans="1:24"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row>
    <row r="355" spans="1:24"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row>
    <row r="356" spans="1:24"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row>
    <row r="357" spans="1:24"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row>
    <row r="358" spans="1:24"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row>
    <row r="359" spans="1:24"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row>
    <row r="360" spans="1:24"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row>
    <row r="361" spans="1:24"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row>
    <row r="362" spans="1:24"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row>
    <row r="363" spans="1:24"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row>
    <row r="364" spans="1:24"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row>
    <row r="365" spans="1:24"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row>
    <row r="366" spans="1:24"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row>
    <row r="367" spans="1:24"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row>
    <row r="368" spans="1:24"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row>
    <row r="369" spans="1:24"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row>
    <row r="370" spans="1:24"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row>
    <row r="371" spans="1:24"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row>
    <row r="372" spans="1:24"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row>
    <row r="373" spans="1:24"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row>
    <row r="374" spans="1:24"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row>
    <row r="375" spans="1:24"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row>
    <row r="376" spans="1:24"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row>
    <row r="377" spans="1:24"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row>
    <row r="378" spans="1:24"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row>
    <row r="379" spans="1:24"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row>
    <row r="380" spans="1:24"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row>
    <row r="381" spans="1:24"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row>
    <row r="382" spans="1:24"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row>
    <row r="383" spans="1:24"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row>
    <row r="384" spans="1:24"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row>
    <row r="385" spans="1:24"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row>
    <row r="386" spans="1:24"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row>
    <row r="387" spans="1:24"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row>
    <row r="388" spans="1:24"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row>
    <row r="389" spans="1:24"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row>
    <row r="390" spans="1:24"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row>
    <row r="391" spans="1:24"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row>
    <row r="392" spans="1:24"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row>
    <row r="393" spans="1:24"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row>
    <row r="394" spans="1:24"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row>
    <row r="395" spans="1:24"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row>
    <row r="396" spans="1:24"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row>
    <row r="397" spans="1:24"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row>
    <row r="398" spans="1:24"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row>
    <row r="399" spans="1:24"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row>
    <row r="400" spans="1:24"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row>
    <row r="401" spans="1:24"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row>
    <row r="402" spans="1:24"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spans="1:24"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row>
    <row r="404" spans="1:24"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row>
    <row r="405" spans="1:24"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row>
    <row r="406" spans="1:24"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row>
    <row r="407" spans="1:24"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row>
    <row r="408" spans="1:24"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row>
    <row r="409" spans="1:24"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row>
    <row r="410" spans="1:24"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row>
    <row r="411" spans="1:24"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row>
    <row r="412" spans="1:24"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row>
    <row r="413" spans="1:24"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row>
    <row r="414" spans="1:24"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row>
    <row r="415" spans="1:24"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row>
    <row r="416" spans="1:24"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row>
    <row r="417" spans="1:24"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row>
    <row r="418" spans="1:24"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row>
    <row r="419" spans="1:24"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row>
    <row r="420" spans="1:24"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row>
    <row r="421" spans="1:24"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row>
    <row r="422" spans="1:24"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row>
    <row r="423" spans="1:24"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row>
    <row r="424" spans="1:24"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row>
    <row r="425" spans="1:24"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row>
    <row r="426" spans="1:24"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row>
    <row r="427" spans="1:24"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row>
    <row r="428" spans="1:24"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row>
    <row r="429" spans="1:24"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row>
    <row r="430" spans="1:24"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row>
    <row r="431" spans="1:24"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row>
    <row r="432" spans="1:24"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row>
    <row r="433" spans="1:24"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row>
    <row r="434" spans="1:24"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row>
    <row r="435" spans="1:24"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row>
    <row r="436" spans="1:24"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row>
    <row r="437" spans="1:24"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row>
    <row r="438" spans="1:24"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row>
    <row r="439" spans="1:24"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row>
    <row r="440" spans="1:24"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row>
    <row r="441" spans="1:24"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row>
    <row r="442" spans="1:24"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row>
    <row r="443" spans="1:24"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row>
    <row r="444" spans="1:24"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row>
    <row r="445" spans="1:24"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row>
    <row r="446" spans="1:24"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row>
    <row r="447" spans="1:24"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row>
    <row r="448" spans="1:24"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row>
    <row r="449" spans="1:24"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row>
    <row r="450" spans="1:24"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row>
    <row r="451" spans="1:24"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row>
    <row r="452" spans="1:24"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row>
    <row r="453" spans="1:24"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row>
    <row r="454" spans="1:24"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row>
    <row r="455" spans="1:24"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row>
    <row r="456" spans="1:24"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row>
    <row r="457" spans="1:24"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row>
    <row r="458" spans="1:24"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row>
    <row r="459" spans="1:24"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row>
    <row r="460" spans="1:24"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row>
    <row r="461" spans="1:24"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row>
    <row r="462" spans="1:24"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row>
    <row r="463" spans="1:24"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row>
    <row r="464" spans="1:24"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row>
    <row r="465" spans="1:24"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row>
    <row r="466" spans="1:24"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row>
    <row r="467" spans="1:24"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row>
    <row r="468" spans="1:24"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row>
    <row r="469" spans="1:24"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row>
    <row r="470" spans="1:24"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row>
    <row r="471" spans="1:24"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row>
    <row r="472" spans="1:24"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row>
    <row r="473" spans="1:24"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row>
    <row r="474" spans="1:24"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row>
    <row r="475" spans="1:24"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row>
    <row r="476" spans="1:24"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row>
    <row r="477" spans="1:24"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row>
    <row r="478" spans="1:24"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row>
    <row r="479" spans="1:24"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row>
    <row r="480" spans="1:24"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row>
    <row r="481" spans="1:24"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row>
    <row r="482" spans="1:24"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row>
    <row r="483" spans="1:24"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row>
    <row r="484" spans="1:24"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row>
    <row r="485" spans="1:24"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row>
    <row r="486" spans="1:24"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row>
    <row r="487" spans="1:24"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row>
    <row r="488" spans="1:24"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row>
    <row r="489" spans="1:24"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row>
    <row r="490" spans="1:24"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row>
    <row r="491" spans="1:24"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row>
    <row r="492" spans="1:24"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row>
    <row r="493" spans="1:24"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row>
    <row r="494" spans="1:24"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row>
    <row r="495" spans="1:24"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row>
    <row r="496" spans="1:24"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row>
    <row r="497" spans="1:24"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row>
    <row r="498" spans="1:24"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row>
    <row r="499" spans="1:24"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row>
    <row r="500" spans="1:24"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row>
    <row r="501" spans="1:24"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row>
    <row r="502" spans="1:24"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spans="1:24"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row>
    <row r="504" spans="1:24"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row>
    <row r="505" spans="1:24"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row>
    <row r="506" spans="1:24"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row>
    <row r="507" spans="1:24"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row>
    <row r="508" spans="1:24"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row>
    <row r="509" spans="1:24"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row>
    <row r="510" spans="1:24"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row>
    <row r="511" spans="1:24"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row>
    <row r="512" spans="1:24"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row>
    <row r="513" spans="1:24"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row>
    <row r="514" spans="1:24"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row>
    <row r="515" spans="1:24"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row>
    <row r="516" spans="1:24"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row>
    <row r="517" spans="1:24"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row>
    <row r="518" spans="1:24"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row>
    <row r="519" spans="1:24"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row>
    <row r="520" spans="1:24"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row>
    <row r="521" spans="1:24"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row>
    <row r="522" spans="1:24"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row>
    <row r="523" spans="1:24"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row>
    <row r="524" spans="1:24"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row>
    <row r="525" spans="1:24"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row>
    <row r="526" spans="1:24"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row>
    <row r="527" spans="1:24"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row>
    <row r="528" spans="1:24"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row>
    <row r="529" spans="1:24"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row>
    <row r="530" spans="1:24"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row>
    <row r="531" spans="1:24"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row>
    <row r="532" spans="1:24"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row>
    <row r="533" spans="1:24"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row>
    <row r="534" spans="1:24"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row>
    <row r="535" spans="1:24"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row>
    <row r="536" spans="1:24"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row>
    <row r="537" spans="1:24"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row>
    <row r="538" spans="1:24"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row>
    <row r="539" spans="1:24"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row>
    <row r="540" spans="1:24"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row>
    <row r="541" spans="1:24"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row>
    <row r="542" spans="1:24"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row>
    <row r="543" spans="1:24"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row>
    <row r="544" spans="1:24"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row>
    <row r="545" spans="1:24"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row>
    <row r="546" spans="1:24"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row>
    <row r="547" spans="1:24"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row>
    <row r="548" spans="1:24"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row>
    <row r="549" spans="1:24"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row>
    <row r="550" spans="1:24"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row>
    <row r="551" spans="1:24"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row>
    <row r="552" spans="1:24"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row>
    <row r="553" spans="1:24"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row>
    <row r="554" spans="1:24"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row>
    <row r="555" spans="1:24"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row>
    <row r="556" spans="1:24"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row>
    <row r="557" spans="1:24"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row>
    <row r="558" spans="1:24"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row>
    <row r="559" spans="1:24"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row>
    <row r="560" spans="1:24"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row>
    <row r="561" spans="1:24"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row>
    <row r="562" spans="1:24"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row>
    <row r="563" spans="1:24"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row>
    <row r="564" spans="1:24"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row>
    <row r="565" spans="1:24"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row>
    <row r="566" spans="1:24"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row>
    <row r="567" spans="1:24"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row>
    <row r="568" spans="1:24"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row>
    <row r="569" spans="1:24"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row>
    <row r="570" spans="1:24"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row>
    <row r="571" spans="1:24"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row>
    <row r="572" spans="1:24"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row>
    <row r="573" spans="1:24"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row>
    <row r="574" spans="1:24"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row>
    <row r="575" spans="1:24"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row>
    <row r="576" spans="1:24"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row>
    <row r="577" spans="1:24"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row>
    <row r="578" spans="1:24"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row>
    <row r="579" spans="1:24"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row>
    <row r="580" spans="1:24"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row>
    <row r="581" spans="1:24"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row>
    <row r="582" spans="1:24"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row>
    <row r="583" spans="1:24"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row>
    <row r="584" spans="1:24"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row>
    <row r="585" spans="1:24"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row>
    <row r="586" spans="1:24"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row>
    <row r="587" spans="1:24"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row>
    <row r="588" spans="1:24"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row>
    <row r="589" spans="1:24"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row>
    <row r="590" spans="1:24"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row>
    <row r="591" spans="1:24"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row>
    <row r="592" spans="1:24"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row>
    <row r="593" spans="1:24"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row>
    <row r="594" spans="1:24"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row>
    <row r="595" spans="1:24"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row>
    <row r="596" spans="1:24"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row>
    <row r="597" spans="1:24"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row>
    <row r="598" spans="1:24"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row>
    <row r="599" spans="1:24"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row>
    <row r="600" spans="1:24"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row>
    <row r="601" spans="1:24"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row>
    <row r="602" spans="1:24"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spans="1:24"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row>
    <row r="604" spans="1:24"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row>
    <row r="605" spans="1:24"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row>
    <row r="606" spans="1:24"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row>
    <row r="607" spans="1:24"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row>
    <row r="608" spans="1:24"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row>
    <row r="609" spans="1:24"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row>
    <row r="610" spans="1:24"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row>
    <row r="611" spans="1:24"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row>
    <row r="612" spans="1:24"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row>
    <row r="613" spans="1:24"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row>
    <row r="614" spans="1:24"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row>
    <row r="615" spans="1:24"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row>
    <row r="616" spans="1:24"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row>
    <row r="617" spans="1:24"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row>
    <row r="618" spans="1:24"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row>
    <row r="619" spans="1:24"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row>
    <row r="620" spans="1:24"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row>
    <row r="621" spans="1:24"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row>
    <row r="622" spans="1:24"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row>
    <row r="623" spans="1:24"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row>
    <row r="624" spans="1:24"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row>
    <row r="625" spans="1:24"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row>
    <row r="626" spans="1:24"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row>
    <row r="627" spans="1:24"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row>
    <row r="628" spans="1:24"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row>
    <row r="629" spans="1:24"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row>
    <row r="630" spans="1:24"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row>
    <row r="631" spans="1:24"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row>
    <row r="632" spans="1:24"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row>
    <row r="633" spans="1:24"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row>
    <row r="634" spans="1:24"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row>
    <row r="635" spans="1:24"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row>
    <row r="636" spans="1:24"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row>
    <row r="637" spans="1:24"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row>
    <row r="638" spans="1:24"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row>
    <row r="639" spans="1:24"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row>
    <row r="640" spans="1:24"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row>
    <row r="641" spans="1:24"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row>
    <row r="642" spans="1:24"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row>
    <row r="643" spans="1:24"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row>
    <row r="644" spans="1:24"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row>
    <row r="645" spans="1:24"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row>
    <row r="646" spans="1:24"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row>
    <row r="647" spans="1:24"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row>
    <row r="648" spans="1:24"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row>
    <row r="649" spans="1:24"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row>
    <row r="650" spans="1:24"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row>
    <row r="651" spans="1:24"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row>
    <row r="652" spans="1:24"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row>
    <row r="653" spans="1:24"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row>
    <row r="654" spans="1:24"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row>
    <row r="655" spans="1:24"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row>
    <row r="656" spans="1:24"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row>
    <row r="657" spans="1:24"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row>
    <row r="658" spans="1:24"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row>
    <row r="659" spans="1:24"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row>
    <row r="660" spans="1:24"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row>
    <row r="661" spans="1:24"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row>
    <row r="662" spans="1:24"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row>
    <row r="663" spans="1:24"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row>
    <row r="664" spans="1:24"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row>
    <row r="665" spans="1:24"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row>
    <row r="666" spans="1:24"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row>
    <row r="667" spans="1:24"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row>
    <row r="668" spans="1:24"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row>
    <row r="669" spans="1:24"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row>
    <row r="670" spans="1:24"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row>
    <row r="671" spans="1:24"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row>
    <row r="672" spans="1:24"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row>
    <row r="673" spans="1:24"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row>
    <row r="674" spans="1:24"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row>
    <row r="675" spans="1:24"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row>
    <row r="676" spans="1:24"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row>
    <row r="677" spans="1:24"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row>
    <row r="678" spans="1:24"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row>
    <row r="679" spans="1:24"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row>
    <row r="680" spans="1:24"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row>
    <row r="681" spans="1:24"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row>
    <row r="682" spans="1:24"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row>
    <row r="683" spans="1:24"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row>
    <row r="684" spans="1:24"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row>
    <row r="685" spans="1:24"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row>
    <row r="686" spans="1:24"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row>
    <row r="687" spans="1:24"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row>
    <row r="688" spans="1:24"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row>
    <row r="689" spans="1:24"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row>
    <row r="690" spans="1:24"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row>
    <row r="691" spans="1:24"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row>
    <row r="692" spans="1:24"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row>
    <row r="693" spans="1:24"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row>
    <row r="694" spans="1:24"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row>
    <row r="695" spans="1:24"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row>
    <row r="696" spans="1:24"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row>
    <row r="697" spans="1:24"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row>
    <row r="698" spans="1:24"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row>
    <row r="699" spans="1:24"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row>
    <row r="700" spans="1:24"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row>
    <row r="701" spans="1:24"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row>
    <row r="702" spans="1:24"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spans="1:24"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row>
    <row r="704" spans="1:24"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row>
    <row r="705" spans="1:24"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row>
    <row r="706" spans="1:24"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row>
    <row r="707" spans="1:24"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row>
    <row r="708" spans="1:24"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row>
    <row r="709" spans="1:24"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row>
    <row r="710" spans="1:24"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row>
    <row r="711" spans="1:24"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row>
    <row r="712" spans="1:24"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row>
    <row r="713" spans="1:24"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row>
    <row r="714" spans="1:24"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row>
    <row r="715" spans="1:24"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row>
    <row r="716" spans="1:24"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row>
    <row r="717" spans="1:24"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row>
    <row r="718" spans="1:24"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row>
    <row r="719" spans="1:24"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row>
    <row r="720" spans="1:24"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row>
    <row r="721" spans="1:24"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row>
    <row r="722" spans="1:24"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row>
    <row r="723" spans="1:24"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row>
    <row r="724" spans="1:24"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row>
    <row r="725" spans="1:24"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row>
    <row r="726" spans="1:24"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row>
    <row r="727" spans="1:24"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row>
    <row r="728" spans="1:24"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row>
    <row r="729" spans="1:24"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row>
    <row r="730" spans="1:24"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row>
    <row r="731" spans="1:24"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row>
    <row r="732" spans="1:24"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row>
    <row r="733" spans="1:24"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row>
    <row r="734" spans="1:24"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row>
    <row r="735" spans="1:24"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row>
    <row r="736" spans="1:24"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row>
    <row r="737" spans="1:24"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row>
    <row r="738" spans="1:24"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row>
    <row r="739" spans="1:24"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row>
    <row r="740" spans="1:24"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row>
    <row r="741" spans="1:24"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row>
    <row r="742" spans="1:24"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row>
    <row r="743" spans="1:24"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row>
    <row r="744" spans="1:24"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row>
    <row r="745" spans="1:24"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row>
    <row r="746" spans="1:24"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row>
    <row r="747" spans="1:24"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row>
    <row r="748" spans="1:24"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row>
    <row r="749" spans="1:24"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row>
    <row r="750" spans="1:24"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row>
    <row r="751" spans="1:24"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row>
    <row r="752" spans="1:24"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row>
    <row r="753" spans="1:24"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row>
    <row r="754" spans="1:24"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row>
    <row r="755" spans="1:24"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row>
    <row r="756" spans="1:24"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row>
    <row r="757" spans="1:24"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row>
    <row r="758" spans="1:24"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row>
    <row r="759" spans="1:24"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row>
    <row r="760" spans="1:24"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row>
    <row r="761" spans="1:24"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row>
    <row r="762" spans="1:24"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row>
    <row r="763" spans="1:24"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row>
    <row r="764" spans="1:24"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row>
    <row r="765" spans="1:24"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row>
    <row r="766" spans="1:24"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row>
    <row r="767" spans="1:24"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row>
    <row r="768" spans="1:24"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row>
    <row r="769" spans="1:24"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row>
    <row r="770" spans="1:24"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row>
    <row r="771" spans="1:24"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row>
    <row r="772" spans="1:24"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row>
    <row r="773" spans="1:24"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row>
    <row r="774" spans="1:24"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row>
    <row r="775" spans="1:24"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row>
    <row r="776" spans="1:24"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row>
    <row r="777" spans="1:24"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row>
    <row r="778" spans="1:24"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row>
    <row r="779" spans="1:24"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row>
    <row r="780" spans="1:24"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row>
    <row r="781" spans="1:24"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row>
    <row r="782" spans="1:24"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row>
    <row r="783" spans="1:24"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row>
    <row r="784" spans="1:24"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row>
    <row r="785" spans="1:24"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row>
    <row r="786" spans="1:24"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row>
    <row r="787" spans="1:24"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row>
    <row r="788" spans="1:24"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row>
    <row r="789" spans="1:24"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row>
    <row r="790" spans="1:24"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row>
    <row r="791" spans="1:24"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row>
    <row r="792" spans="1:24"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row>
    <row r="793" spans="1:24"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row>
    <row r="794" spans="1:24"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row>
    <row r="795" spans="1:24"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row>
    <row r="796" spans="1:24"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row>
    <row r="797" spans="1:24"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row>
    <row r="798" spans="1:24"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row>
    <row r="799" spans="1:24"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row>
    <row r="800" spans="1:24"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row>
    <row r="801" spans="1:24"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row>
    <row r="802" spans="1:24"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spans="1:24"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row>
    <row r="804" spans="1:24"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row>
    <row r="805" spans="1:24"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row>
    <row r="806" spans="1:24"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row>
    <row r="807" spans="1:24"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row>
    <row r="808" spans="1:24"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row>
    <row r="809" spans="1:24"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row>
    <row r="810" spans="1:24"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row>
    <row r="811" spans="1:24"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row>
    <row r="812" spans="1:24"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row>
    <row r="813" spans="1:24"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row>
    <row r="814" spans="1:24"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row>
    <row r="815" spans="1:24"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row>
    <row r="816" spans="1:24"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row>
    <row r="817" spans="1:24"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row>
    <row r="818" spans="1:24"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row>
    <row r="819" spans="1:24"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row>
    <row r="820" spans="1:24"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row>
    <row r="821" spans="1:24"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row>
    <row r="822" spans="1:24"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row>
    <row r="823" spans="1:24"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row>
    <row r="824" spans="1:24"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row>
    <row r="825" spans="1:24"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row>
    <row r="826" spans="1:24"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row>
    <row r="827" spans="1:24"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row>
    <row r="828" spans="1:24"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row>
    <row r="829" spans="1:24"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row>
    <row r="830" spans="1:24"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row>
    <row r="831" spans="1:24"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row>
    <row r="832" spans="1:24"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row>
    <row r="833" spans="1:24"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row>
    <row r="834" spans="1:24"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row>
    <row r="835" spans="1:24"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row>
    <row r="836" spans="1:24"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row>
    <row r="837" spans="1:24"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row>
    <row r="838" spans="1:24"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row>
    <row r="839" spans="1:24"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row>
    <row r="840" spans="1:24"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row>
    <row r="841" spans="1:24"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row>
    <row r="842" spans="1:24"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row>
    <row r="843" spans="1:24"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row>
    <row r="844" spans="1:24"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row>
    <row r="845" spans="1:24"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row>
    <row r="846" spans="1:24"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row>
    <row r="847" spans="1:24"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row>
    <row r="848" spans="1:24"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row>
    <row r="849" spans="1:24"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row>
    <row r="850" spans="1:24"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row>
    <row r="851" spans="1:24"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row>
    <row r="852" spans="1:24"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row>
    <row r="853" spans="1:24"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row>
    <row r="854" spans="1:24"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row>
    <row r="855" spans="1:24"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row>
    <row r="856" spans="1:24"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row>
    <row r="857" spans="1:24"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row>
    <row r="858" spans="1:24"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row>
    <row r="859" spans="1:24"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row>
    <row r="860" spans="1:24"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row>
    <row r="861" spans="1:24"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row>
    <row r="862" spans="1:24"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row>
    <row r="863" spans="1:24"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row>
    <row r="864" spans="1:24"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row>
    <row r="865" spans="1:24"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row>
    <row r="866" spans="1:24"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row>
    <row r="867" spans="1:24"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row>
    <row r="868" spans="1:24"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row>
    <row r="869" spans="1:24"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row>
    <row r="870" spans="1:24"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row>
    <row r="871" spans="1:24"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row>
    <row r="872" spans="1:24"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row>
    <row r="873" spans="1:24"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row>
    <row r="874" spans="1:24"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row>
    <row r="875" spans="1:24"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row>
    <row r="876" spans="1:24"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row>
    <row r="877" spans="1:24"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row>
    <row r="878" spans="1:24"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row>
    <row r="879" spans="1:24"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row>
    <row r="880" spans="1:24"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row>
    <row r="881" spans="1:24"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row>
    <row r="882" spans="1:24"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row>
    <row r="883" spans="1:24"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row>
    <row r="884" spans="1:24"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row>
    <row r="885" spans="1:24"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row>
    <row r="886" spans="1:24"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row>
    <row r="887" spans="1:24"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row>
    <row r="888" spans="1:24"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row>
    <row r="889" spans="1:24"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row>
    <row r="890" spans="1:24"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row>
    <row r="891" spans="1:24"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row>
    <row r="892" spans="1:24"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row>
    <row r="893" spans="1:24"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row>
    <row r="894" spans="1:24"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row>
    <row r="895" spans="1:24"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row>
    <row r="896" spans="1:24"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row>
    <row r="897" spans="1:24"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row>
    <row r="898" spans="1:24"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row>
    <row r="899" spans="1:24"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row>
    <row r="900" spans="1:24"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row>
    <row r="901" spans="1:24"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row>
    <row r="902" spans="1:24"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spans="1:24"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row>
    <row r="904" spans="1:24"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row>
    <row r="905" spans="1:24"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row>
    <row r="906" spans="1:24"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row>
    <row r="907" spans="1:24"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row>
    <row r="908" spans="1:24"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row>
    <row r="909" spans="1:24"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row>
    <row r="910" spans="1:24"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row>
    <row r="911" spans="1:24"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row>
    <row r="912" spans="1:24"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row>
    <row r="913" spans="1:24"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row>
    <row r="914" spans="1:24"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row>
    <row r="915" spans="1:24"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row>
    <row r="916" spans="1:24"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row>
    <row r="917" spans="1:24"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row>
    <row r="918" spans="1:24"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row>
    <row r="919" spans="1:24"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row>
    <row r="920" spans="1:24"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row>
    <row r="921" spans="1:24"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row>
    <row r="922" spans="1:24"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row>
    <row r="923" spans="1:24"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row>
    <row r="924" spans="1:24"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row>
    <row r="925" spans="1:24"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row>
    <row r="926" spans="1:24"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row>
    <row r="927" spans="1:24"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row>
    <row r="928" spans="1:24"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row>
    <row r="929" spans="1:24"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row>
    <row r="930" spans="1:24"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row>
    <row r="931" spans="1:24"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row>
    <row r="932" spans="1:24"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row>
    <row r="933" spans="1:24"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row>
    <row r="934" spans="1:24"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row>
    <row r="935" spans="1:24"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row>
    <row r="936" spans="1:24"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row>
    <row r="937" spans="1:24"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row>
    <row r="938" spans="1:24"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row>
    <row r="939" spans="1:24"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row>
    <row r="940" spans="1:24"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row>
    <row r="941" spans="1:24"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row>
    <row r="942" spans="1:24"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row>
    <row r="943" spans="1:24"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row>
    <row r="944" spans="1:24"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row>
    <row r="945" spans="1:24"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row>
    <row r="946" spans="1:24"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row>
    <row r="947" spans="1:24"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row>
    <row r="948" spans="1:24"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row>
    <row r="949" spans="1:24"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row>
    <row r="950" spans="1:24"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row>
    <row r="951" spans="1:24"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row>
    <row r="952" spans="1:24"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row>
    <row r="953" spans="1:24"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row>
    <row r="954" spans="1:24"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row>
    <row r="955" spans="1:24"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row>
    <row r="956" spans="1:24"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row>
    <row r="957" spans="1:24"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row>
    <row r="958" spans="1:24"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row>
    <row r="959" spans="1:24"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row>
    <row r="960" spans="1:24"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row>
    <row r="961" spans="1:24"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row>
    <row r="962" spans="1:24"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row>
    <row r="963" spans="1:24"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row>
    <row r="964" spans="1:24"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row>
    <row r="965" spans="1:24"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row>
    <row r="966" spans="1:24"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row>
    <row r="967" spans="1:24"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row>
    <row r="968" spans="1:24"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row>
    <row r="969" spans="1:24"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row>
    <row r="970" spans="1:24"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row>
    <row r="971" spans="1:24"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row>
    <row r="972" spans="1:24"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row>
    <row r="973" spans="1:24"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row>
    <row r="974" spans="1:24"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row>
    <row r="975" spans="1:24"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row>
    <row r="976" spans="1:24"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row>
    <row r="977" spans="1:24"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row>
    <row r="978" spans="1:24"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row>
    <row r="979" spans="1:24"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row>
    <row r="980" spans="1:24"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row>
    <row r="981" spans="1:24"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row>
    <row r="982" spans="1:24"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row>
    <row r="983" spans="1:24"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row>
    <row r="984" spans="1:24"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row>
    <row r="985" spans="1:24"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row>
    <row r="986" spans="1:24"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row>
    <row r="987" spans="1:24"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row>
    <row r="988" spans="1:24"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row>
    <row r="989" spans="1:24"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row>
    <row r="990" spans="1:24"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row>
    <row r="991" spans="1:24"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row>
    <row r="992" spans="1:24"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row>
    <row r="993" spans="1:24"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row>
    <row r="994" spans="1:24"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row>
    <row r="995" spans="1:24"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row>
    <row r="996" spans="1:24"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row>
    <row r="997" spans="1:24"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row>
    <row r="998" spans="1:24"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row>
    <row r="999" spans="1:24"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row>
    <row r="1000" spans="1:24"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98"/>
  <sheetViews>
    <sheetView tabSelected="1" workbookViewId="0">
      <selection activeCell="G30" sqref="G30"/>
    </sheetView>
  </sheetViews>
  <sheetFormatPr baseColWidth="10" defaultColWidth="14.5" defaultRowHeight="15" customHeight="1" x14ac:dyDescent="0.2"/>
  <cols>
    <col min="1" max="1" width="14.33203125" customWidth="1"/>
    <col min="2" max="6" width="10.6640625" customWidth="1"/>
  </cols>
  <sheetData>
    <row r="1" spans="1:6" x14ac:dyDescent="0.2">
      <c r="A1" s="1" t="s">
        <v>0</v>
      </c>
      <c r="B1" s="5" t="s">
        <v>121</v>
      </c>
      <c r="C1" s="5" t="s">
        <v>122</v>
      </c>
      <c r="D1" s="5" t="s">
        <v>123</v>
      </c>
      <c r="E1" s="5" t="s">
        <v>124</v>
      </c>
      <c r="F1" s="5" t="s">
        <v>125</v>
      </c>
    </row>
    <row r="2" spans="1:6" x14ac:dyDescent="0.2">
      <c r="A2" s="14" t="s">
        <v>6</v>
      </c>
      <c r="B2" s="5">
        <v>2</v>
      </c>
      <c r="C2" s="5">
        <v>16</v>
      </c>
      <c r="D2" s="2">
        <v>0</v>
      </c>
      <c r="E2" s="2">
        <v>3</v>
      </c>
      <c r="F2" s="5">
        <v>0</v>
      </c>
    </row>
    <row r="3" spans="1:6" x14ac:dyDescent="0.2">
      <c r="A3" s="14" t="s">
        <v>12</v>
      </c>
      <c r="B3" s="5">
        <v>2</v>
      </c>
      <c r="C3" s="5">
        <v>24</v>
      </c>
      <c r="D3" s="2">
        <v>2</v>
      </c>
      <c r="E3" s="2">
        <v>3</v>
      </c>
      <c r="F3" s="5">
        <v>0</v>
      </c>
    </row>
    <row r="4" spans="1:6" x14ac:dyDescent="0.2">
      <c r="A4" s="14" t="s">
        <v>17</v>
      </c>
      <c r="B4" s="5">
        <v>1</v>
      </c>
      <c r="C4" s="5">
        <v>8</v>
      </c>
      <c r="D4" s="2">
        <v>-2</v>
      </c>
      <c r="E4" s="2">
        <v>0</v>
      </c>
      <c r="F4" s="5">
        <v>0</v>
      </c>
    </row>
    <row r="5" spans="1:6" x14ac:dyDescent="0.2">
      <c r="A5" s="14" t="s">
        <v>21</v>
      </c>
      <c r="B5" s="5">
        <v>3</v>
      </c>
      <c r="C5" s="5">
        <v>8</v>
      </c>
      <c r="D5" s="2">
        <v>2</v>
      </c>
      <c r="E5" s="2">
        <v>6</v>
      </c>
      <c r="F5" s="5">
        <v>0</v>
      </c>
    </row>
    <row r="6" spans="1:6" x14ac:dyDescent="0.2">
      <c r="A6" s="14" t="s">
        <v>25</v>
      </c>
      <c r="B6" s="5">
        <v>3</v>
      </c>
      <c r="C6" s="5">
        <v>20</v>
      </c>
      <c r="D6" s="2">
        <v>1</v>
      </c>
      <c r="E6" s="2">
        <v>9</v>
      </c>
      <c r="F6" s="5">
        <v>0</v>
      </c>
    </row>
    <row r="7" spans="1:6" x14ac:dyDescent="0.2">
      <c r="A7" s="14" t="s">
        <v>28</v>
      </c>
      <c r="B7" s="5">
        <v>3</v>
      </c>
      <c r="C7" s="5">
        <v>24</v>
      </c>
      <c r="D7" s="2">
        <v>0</v>
      </c>
      <c r="E7" s="2">
        <v>6</v>
      </c>
      <c r="F7" s="5">
        <v>0</v>
      </c>
    </row>
    <row r="8" spans="1:6" x14ac:dyDescent="0.2">
      <c r="A8" s="14" t="s">
        <v>34</v>
      </c>
      <c r="B8" s="5">
        <v>4</v>
      </c>
      <c r="C8" s="5">
        <v>16</v>
      </c>
      <c r="D8" s="2">
        <v>-1</v>
      </c>
      <c r="E8" s="2">
        <v>9</v>
      </c>
      <c r="F8" s="5">
        <v>0</v>
      </c>
    </row>
    <row r="9" spans="1:6" x14ac:dyDescent="0.2">
      <c r="A9" s="14" t="s">
        <v>45</v>
      </c>
      <c r="B9" s="4">
        <v>5</v>
      </c>
      <c r="C9" s="4">
        <v>18</v>
      </c>
      <c r="D9" s="2">
        <v>-2</v>
      </c>
      <c r="E9" s="2">
        <v>12</v>
      </c>
      <c r="F9" s="5">
        <v>0</v>
      </c>
    </row>
    <row r="10" spans="1:6" x14ac:dyDescent="0.2">
      <c r="A10" s="14" t="s">
        <v>55</v>
      </c>
      <c r="B10" s="4">
        <v>5</v>
      </c>
      <c r="C10" s="4">
        <v>15</v>
      </c>
      <c r="D10" s="2">
        <v>2</v>
      </c>
      <c r="E10" s="2">
        <v>12</v>
      </c>
      <c r="F10" s="5">
        <v>0</v>
      </c>
    </row>
    <row r="11" spans="1:6" x14ac:dyDescent="0.2">
      <c r="A11" s="14" t="s">
        <v>59</v>
      </c>
      <c r="B11" s="4">
        <v>6</v>
      </c>
      <c r="C11" s="4">
        <v>14</v>
      </c>
      <c r="D11" s="2">
        <v>2</v>
      </c>
      <c r="E11" s="2">
        <v>15</v>
      </c>
      <c r="F11" s="5">
        <v>0</v>
      </c>
    </row>
    <row r="12" spans="1:6" ht="16" x14ac:dyDescent="0.2">
      <c r="A12" s="14" t="s">
        <v>63</v>
      </c>
      <c r="B12" s="7">
        <v>6</v>
      </c>
      <c r="C12" s="7">
        <v>13</v>
      </c>
      <c r="D12" s="2">
        <v>0</v>
      </c>
      <c r="E12" s="2">
        <v>15</v>
      </c>
      <c r="F12" s="5">
        <v>0</v>
      </c>
    </row>
    <row r="13" spans="1:6" x14ac:dyDescent="0.2">
      <c r="A13" s="14" t="s">
        <v>269</v>
      </c>
      <c r="B13" s="4">
        <v>6</v>
      </c>
      <c r="C13" s="4">
        <v>18.25</v>
      </c>
      <c r="D13" s="2">
        <v>-2</v>
      </c>
      <c r="E13" s="2">
        <v>15</v>
      </c>
      <c r="F13" s="5">
        <v>0</v>
      </c>
    </row>
    <row r="14" spans="1:6" x14ac:dyDescent="0.2">
      <c r="A14" s="14" t="s">
        <v>293</v>
      </c>
      <c r="B14" s="4">
        <v>3</v>
      </c>
      <c r="C14" s="4">
        <v>18</v>
      </c>
      <c r="D14" s="2">
        <v>3</v>
      </c>
      <c r="E14" s="2">
        <v>9</v>
      </c>
      <c r="F14" s="5">
        <v>0</v>
      </c>
    </row>
    <row r="15" spans="1:6" x14ac:dyDescent="0.2">
      <c r="A15" s="14" t="s">
        <v>67</v>
      </c>
      <c r="B15" s="4">
        <v>5</v>
      </c>
      <c r="C15" s="4">
        <v>14</v>
      </c>
      <c r="D15" s="2">
        <v>0</v>
      </c>
      <c r="E15" s="2">
        <v>12</v>
      </c>
      <c r="F15" s="5">
        <v>0</v>
      </c>
    </row>
    <row r="16" spans="1:6" x14ac:dyDescent="0.2">
      <c r="A16" s="14" t="s">
        <v>72</v>
      </c>
      <c r="B16" s="4">
        <v>7</v>
      </c>
      <c r="C16" s="4">
        <v>18</v>
      </c>
      <c r="D16" s="2">
        <v>0</v>
      </c>
      <c r="E16" s="2">
        <v>18</v>
      </c>
      <c r="F16" s="5">
        <v>0</v>
      </c>
    </row>
    <row r="17" spans="1:6" x14ac:dyDescent="0.2">
      <c r="A17" s="14" t="s">
        <v>75</v>
      </c>
      <c r="B17" s="4">
        <v>7</v>
      </c>
      <c r="C17" s="4">
        <v>19</v>
      </c>
      <c r="D17" s="2">
        <v>1</v>
      </c>
      <c r="E17" s="2">
        <v>21</v>
      </c>
      <c r="F17" s="5">
        <v>0</v>
      </c>
    </row>
    <row r="18" spans="1:6" x14ac:dyDescent="0.2">
      <c r="A18" s="14" t="s">
        <v>240</v>
      </c>
      <c r="B18" s="4">
        <v>7</v>
      </c>
      <c r="C18" s="4">
        <v>17</v>
      </c>
      <c r="D18" s="2">
        <v>2</v>
      </c>
      <c r="E18" s="2">
        <v>18</v>
      </c>
      <c r="F18" s="5">
        <v>0</v>
      </c>
    </row>
    <row r="19" spans="1:6" x14ac:dyDescent="0.2">
      <c r="A19" s="14" t="s">
        <v>244</v>
      </c>
      <c r="B19" s="4">
        <v>7</v>
      </c>
      <c r="C19" s="4">
        <v>16.5</v>
      </c>
      <c r="D19" s="2">
        <v>-2</v>
      </c>
      <c r="E19" s="2">
        <v>18</v>
      </c>
      <c r="F19" s="5">
        <v>0</v>
      </c>
    </row>
    <row r="20" spans="1:6" x14ac:dyDescent="0.2">
      <c r="A20" s="14" t="s">
        <v>246</v>
      </c>
      <c r="B20" s="4">
        <v>7</v>
      </c>
      <c r="C20" s="4">
        <v>15</v>
      </c>
      <c r="D20" s="2">
        <v>4</v>
      </c>
      <c r="E20" s="2">
        <v>18</v>
      </c>
      <c r="F20" s="5">
        <v>0</v>
      </c>
    </row>
    <row r="21" spans="1:6" ht="15.75" customHeight="1" x14ac:dyDescent="0.2">
      <c r="A21" s="14" t="s">
        <v>247</v>
      </c>
      <c r="B21" s="4">
        <v>7</v>
      </c>
      <c r="C21" s="4">
        <v>20</v>
      </c>
      <c r="D21" s="2">
        <v>-6</v>
      </c>
      <c r="E21" s="2">
        <v>18</v>
      </c>
      <c r="F21" s="5">
        <v>0</v>
      </c>
    </row>
    <row r="22" spans="1:6" ht="15.75" customHeight="1" x14ac:dyDescent="0.2">
      <c r="A22" s="14" t="s">
        <v>248</v>
      </c>
      <c r="B22" s="4">
        <v>7</v>
      </c>
      <c r="C22" s="4">
        <v>14</v>
      </c>
      <c r="D22" s="2">
        <v>0</v>
      </c>
      <c r="E22" s="2">
        <v>24</v>
      </c>
      <c r="F22" s="5">
        <v>0</v>
      </c>
    </row>
    <row r="23" spans="1:6" ht="15.75" customHeight="1" x14ac:dyDescent="0.2">
      <c r="A23" s="14" t="s">
        <v>265</v>
      </c>
      <c r="B23" s="4">
        <v>7</v>
      </c>
      <c r="C23" s="4">
        <v>13</v>
      </c>
      <c r="D23" s="2">
        <v>6</v>
      </c>
      <c r="E23" s="2">
        <v>18</v>
      </c>
      <c r="F23" s="5">
        <v>0</v>
      </c>
    </row>
    <row r="24" spans="1:6" ht="15.75" customHeight="1" x14ac:dyDescent="0.2">
      <c r="A24" s="14" t="s">
        <v>270</v>
      </c>
      <c r="B24" s="4">
        <v>6</v>
      </c>
      <c r="C24" s="4">
        <v>16</v>
      </c>
      <c r="D24" s="2">
        <v>-4</v>
      </c>
      <c r="E24" s="2">
        <v>18</v>
      </c>
      <c r="F24" s="5">
        <v>0</v>
      </c>
    </row>
    <row r="25" spans="1:6" ht="15.75" customHeight="1" x14ac:dyDescent="0.2">
      <c r="A25" s="14" t="s">
        <v>271</v>
      </c>
      <c r="B25" s="4">
        <v>7</v>
      </c>
      <c r="C25" s="4">
        <v>15.5</v>
      </c>
      <c r="D25" s="2">
        <v>-1</v>
      </c>
      <c r="E25" s="2">
        <v>21</v>
      </c>
      <c r="F25" s="5">
        <v>0</v>
      </c>
    </row>
    <row r="26" spans="1:6" ht="15.75" customHeight="1" x14ac:dyDescent="0.2">
      <c r="A26" s="14" t="s">
        <v>267</v>
      </c>
      <c r="B26" s="7">
        <v>1</v>
      </c>
      <c r="C26" s="7">
        <v>16</v>
      </c>
      <c r="D26" s="2">
        <v>0</v>
      </c>
      <c r="E26" s="2">
        <v>0</v>
      </c>
      <c r="F26" s="5">
        <v>0</v>
      </c>
    </row>
    <row r="27" spans="1:6" ht="15.75" customHeight="1" x14ac:dyDescent="0.2">
      <c r="A27" s="14" t="s">
        <v>266</v>
      </c>
      <c r="B27" s="7">
        <v>2</v>
      </c>
      <c r="C27" s="7">
        <v>8</v>
      </c>
      <c r="D27" s="2">
        <v>-4</v>
      </c>
      <c r="E27" s="2">
        <v>3</v>
      </c>
      <c r="F27" s="5">
        <v>0</v>
      </c>
    </row>
    <row r="28" spans="1:6" ht="15.75" customHeight="1" x14ac:dyDescent="0.2">
      <c r="A28" s="14" t="s">
        <v>268</v>
      </c>
      <c r="B28" s="7">
        <v>3</v>
      </c>
      <c r="C28" s="7">
        <v>12</v>
      </c>
      <c r="D28" s="2">
        <v>-2</v>
      </c>
      <c r="E28" s="2">
        <v>6</v>
      </c>
      <c r="F28" s="5">
        <v>0</v>
      </c>
    </row>
    <row r="29" spans="1:6" ht="15.75" customHeight="1" x14ac:dyDescent="0.2">
      <c r="A29" s="14" t="s">
        <v>272</v>
      </c>
      <c r="B29" s="7">
        <v>2.5</v>
      </c>
      <c r="C29" s="7">
        <v>14</v>
      </c>
      <c r="D29" s="2">
        <v>4</v>
      </c>
      <c r="E29" s="2">
        <v>3</v>
      </c>
      <c r="F29" s="5">
        <v>0</v>
      </c>
    </row>
    <row r="30" spans="1:6" ht="15.75" customHeight="1" x14ac:dyDescent="0.2">
      <c r="A30" s="14" t="s">
        <v>273</v>
      </c>
      <c r="B30" s="7">
        <v>4</v>
      </c>
      <c r="C30" s="7">
        <v>12</v>
      </c>
      <c r="D30" s="2">
        <v>-3</v>
      </c>
      <c r="E30" s="2">
        <v>9</v>
      </c>
      <c r="F30" s="5">
        <v>0</v>
      </c>
    </row>
    <row r="31" spans="1:6" ht="15.75" customHeight="1" x14ac:dyDescent="0.2">
      <c r="D31" s="8"/>
      <c r="E31" s="8"/>
    </row>
    <row r="32" spans="1:6" ht="15.75" customHeight="1" x14ac:dyDescent="0.2">
      <c r="D32" s="8"/>
      <c r="E32" s="8"/>
    </row>
    <row r="33" spans="2:5" ht="15.75" customHeight="1" x14ac:dyDescent="0.2">
      <c r="D33" s="8"/>
      <c r="E33" s="8"/>
    </row>
    <row r="34" spans="2:5" ht="15.75" customHeight="1" x14ac:dyDescent="0.2">
      <c r="D34" s="8"/>
      <c r="E34" s="8"/>
    </row>
    <row r="35" spans="2:5" ht="15.75" customHeight="1" x14ac:dyDescent="0.2">
      <c r="D35" s="8"/>
      <c r="E35" s="8"/>
    </row>
    <row r="36" spans="2:5" ht="15.75" customHeight="1" x14ac:dyDescent="0.2">
      <c r="D36" s="8"/>
      <c r="E36" s="8"/>
    </row>
    <row r="37" spans="2:5" ht="15.75" customHeight="1" x14ac:dyDescent="0.2">
      <c r="B37" s="7"/>
      <c r="C37" s="7"/>
      <c r="D37" s="8"/>
      <c r="E37" s="8"/>
    </row>
    <row r="38" spans="2:5" ht="15.75" customHeight="1" x14ac:dyDescent="0.2">
      <c r="B38" s="7"/>
      <c r="C38" s="7"/>
      <c r="D38" s="8"/>
      <c r="E38" s="8"/>
    </row>
    <row r="39" spans="2:5" ht="15.75" customHeight="1" x14ac:dyDescent="0.2">
      <c r="D39" s="8"/>
      <c r="E39" s="8"/>
    </row>
    <row r="40" spans="2:5" ht="15.75" customHeight="1" x14ac:dyDescent="0.2">
      <c r="D40" s="8"/>
      <c r="E40" s="8"/>
    </row>
    <row r="41" spans="2:5" ht="15.75" customHeight="1" x14ac:dyDescent="0.2"/>
    <row r="42" spans="2:5" ht="15.75" customHeight="1" x14ac:dyDescent="0.2"/>
    <row r="43" spans="2:5" ht="15.75" customHeight="1" x14ac:dyDescent="0.2"/>
    <row r="44" spans="2:5" ht="15.75" customHeight="1" x14ac:dyDescent="0.2"/>
    <row r="45" spans="2:5" ht="15.75" customHeight="1" x14ac:dyDescent="0.2"/>
    <row r="46" spans="2:5" ht="15.75" customHeight="1" x14ac:dyDescent="0.2"/>
    <row r="47" spans="2:5" ht="15.75" customHeight="1" x14ac:dyDescent="0.2"/>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baseColWidth="10" defaultColWidth="14.5" defaultRowHeight="15" customHeight="1" x14ac:dyDescent="0.2"/>
  <cols>
    <col min="1" max="1" width="10.6640625" customWidth="1"/>
    <col min="2" max="2" width="13.83203125" customWidth="1"/>
    <col min="3" max="3" width="15" customWidth="1"/>
    <col min="4" max="7" width="10.6640625" customWidth="1"/>
    <col min="8" max="8" width="16.83203125" customWidth="1"/>
    <col min="9" max="9" width="21" customWidth="1"/>
  </cols>
  <sheetData>
    <row r="1" spans="1:9" x14ac:dyDescent="0.2">
      <c r="A1" s="5" t="s">
        <v>78</v>
      </c>
      <c r="B1" s="5" t="s">
        <v>0</v>
      </c>
      <c r="C1" s="9" t="s">
        <v>99</v>
      </c>
      <c r="D1" s="8" t="s">
        <v>126</v>
      </c>
      <c r="E1" s="8" t="s">
        <v>127</v>
      </c>
      <c r="F1" s="8" t="s">
        <v>128</v>
      </c>
      <c r="G1" s="8" t="s">
        <v>129</v>
      </c>
      <c r="H1" s="8" t="s">
        <v>130</v>
      </c>
      <c r="I1" s="8" t="s">
        <v>131</v>
      </c>
    </row>
    <row r="2" spans="1:9" x14ac:dyDescent="0.2">
      <c r="A2" s="2">
        <v>1</v>
      </c>
      <c r="B2" s="2" t="s">
        <v>6</v>
      </c>
      <c r="C2" s="2" t="s">
        <v>55</v>
      </c>
      <c r="D2" s="8">
        <f>VLOOKUP(B2,courses_program1!A:E,4,0)</f>
        <v>0</v>
      </c>
      <c r="E2" s="8">
        <f>VLOOKUP(B2,courses_program1!A:E,5,0)</f>
        <v>3</v>
      </c>
      <c r="F2" s="8">
        <f>VLOOKUP(C2,courses_program1!A:E,4,0)</f>
        <v>2</v>
      </c>
      <c r="G2" s="8">
        <f>VLOOKUP(C2,courses_program1!A:E,5,0)</f>
        <v>12</v>
      </c>
      <c r="H2" s="2">
        <v>1</v>
      </c>
      <c r="I2" s="2" t="e">
        <f t="shared" ref="I2:I55" ca="1" si="0">_xludf.CONCAT(B2, C2)</f>
        <v>#NAME?</v>
      </c>
    </row>
    <row r="3" spans="1:9" x14ac:dyDescent="0.2">
      <c r="A3" s="2">
        <v>2</v>
      </c>
      <c r="B3" s="2" t="s">
        <v>12</v>
      </c>
      <c r="C3" s="2" t="s">
        <v>72</v>
      </c>
      <c r="D3" s="8">
        <f>VLOOKUP(B3,courses_program1!A:E,4,0)</f>
        <v>2</v>
      </c>
      <c r="E3" s="8">
        <f>VLOOKUP(B3,courses_program1!A:E,5,0)</f>
        <v>3</v>
      </c>
      <c r="F3" s="8">
        <f>VLOOKUP(C3,courses_program1!A:E,4,0)</f>
        <v>0</v>
      </c>
      <c r="G3" s="8">
        <f>VLOOKUP(C3,courses_program1!A:E,5,0)</f>
        <v>18</v>
      </c>
      <c r="H3" s="2">
        <v>1</v>
      </c>
      <c r="I3" s="2" t="e">
        <f t="shared" ca="1" si="0"/>
        <v>#NAME?</v>
      </c>
    </row>
    <row r="4" spans="1:9" x14ac:dyDescent="0.2">
      <c r="A4" s="2">
        <v>4</v>
      </c>
      <c r="B4" s="2" t="s">
        <v>17</v>
      </c>
      <c r="C4" s="2" t="s">
        <v>59</v>
      </c>
      <c r="D4" s="8">
        <f>VLOOKUP(B4,courses_program1!A:E,4,0)</f>
        <v>-2</v>
      </c>
      <c r="E4" s="8">
        <f>VLOOKUP(B4,courses_program1!A:E,5,0)</f>
        <v>0</v>
      </c>
      <c r="F4" s="8">
        <f>VLOOKUP(C4,courses_program1!A:E,4,0)</f>
        <v>2</v>
      </c>
      <c r="G4" s="8">
        <f>VLOOKUP(C4,courses_program1!A:E,5,0)</f>
        <v>15</v>
      </c>
      <c r="H4" s="2">
        <v>1</v>
      </c>
      <c r="I4" s="2" t="e">
        <f t="shared" ca="1" si="0"/>
        <v>#NAME?</v>
      </c>
    </row>
    <row r="5" spans="1:9" x14ac:dyDescent="0.2">
      <c r="A5" s="2">
        <v>5</v>
      </c>
      <c r="B5" s="2" t="s">
        <v>21</v>
      </c>
      <c r="C5" s="2" t="s">
        <v>6</v>
      </c>
      <c r="D5" s="8">
        <f>VLOOKUP(B5,courses_program1!A:E,4,0)</f>
        <v>2</v>
      </c>
      <c r="E5" s="8">
        <f>VLOOKUP(B5,courses_program1!A:E,5,0)</f>
        <v>6</v>
      </c>
      <c r="F5" s="8">
        <f>VLOOKUP(C5,courses_program1!A:E,4,0)</f>
        <v>0</v>
      </c>
      <c r="G5" s="8">
        <f>VLOOKUP(C5,courses_program1!A:E,5,0)</f>
        <v>3</v>
      </c>
      <c r="H5" s="2">
        <v>1</v>
      </c>
      <c r="I5" s="2" t="e">
        <f t="shared" ca="1" si="0"/>
        <v>#NAME?</v>
      </c>
    </row>
    <row r="6" spans="1:9" x14ac:dyDescent="0.2">
      <c r="A6" s="2">
        <v>5</v>
      </c>
      <c r="B6" s="2" t="s">
        <v>21</v>
      </c>
      <c r="C6" s="2" t="s">
        <v>16</v>
      </c>
      <c r="D6" s="8">
        <f>VLOOKUP(B6,courses_program1!A:E,4,0)</f>
        <v>2</v>
      </c>
      <c r="E6" s="8">
        <f>VLOOKUP(B6,courses_program1!A:E,5,0)</f>
        <v>6</v>
      </c>
      <c r="F6" s="8" t="e">
        <f>VLOOKUP(C6,courses_program1!A:E,4,0)</f>
        <v>#N/A</v>
      </c>
      <c r="G6" s="8" t="e">
        <f>VLOOKUP(C6,courses_program1!A:E,5,0)</f>
        <v>#N/A</v>
      </c>
      <c r="H6" s="2">
        <v>0</v>
      </c>
      <c r="I6" s="2" t="e">
        <f t="shared" ca="1" si="0"/>
        <v>#NAME?</v>
      </c>
    </row>
    <row r="7" spans="1:9" x14ac:dyDescent="0.2">
      <c r="A7" s="2">
        <v>5</v>
      </c>
      <c r="B7" s="2" t="s">
        <v>21</v>
      </c>
      <c r="C7" s="2" t="s">
        <v>17</v>
      </c>
      <c r="D7" s="8">
        <f>VLOOKUP(B7,courses_program1!A:E,4,0)</f>
        <v>2</v>
      </c>
      <c r="E7" s="8">
        <f>VLOOKUP(B7,courses_program1!A:E,5,0)</f>
        <v>6</v>
      </c>
      <c r="F7" s="8">
        <f>VLOOKUP(C7,courses_program1!A:E,4,0)</f>
        <v>-2</v>
      </c>
      <c r="G7" s="8">
        <f>VLOOKUP(C7,courses_program1!A:E,5,0)</f>
        <v>0</v>
      </c>
      <c r="H7" s="2">
        <v>0</v>
      </c>
      <c r="I7" s="2" t="e">
        <f t="shared" ca="1" si="0"/>
        <v>#NAME?</v>
      </c>
    </row>
    <row r="8" spans="1:9" x14ac:dyDescent="0.2">
      <c r="A8" s="2">
        <v>6</v>
      </c>
      <c r="B8" s="2" t="s">
        <v>25</v>
      </c>
      <c r="C8" s="2" t="s">
        <v>12</v>
      </c>
      <c r="D8" s="8">
        <f>VLOOKUP(B8,courses_program1!A:E,4,0)</f>
        <v>1</v>
      </c>
      <c r="E8" s="8">
        <f>VLOOKUP(B8,courses_program1!A:E,5,0)</f>
        <v>9</v>
      </c>
      <c r="F8" s="8">
        <f>VLOOKUP(C8,courses_program1!A:E,4,0)</f>
        <v>2</v>
      </c>
      <c r="G8" s="8">
        <f>VLOOKUP(C8,courses_program1!A:E,5,0)</f>
        <v>3</v>
      </c>
      <c r="H8" s="2">
        <v>1</v>
      </c>
      <c r="I8" s="2" t="e">
        <f t="shared" ca="1" si="0"/>
        <v>#NAME?</v>
      </c>
    </row>
    <row r="9" spans="1:9" x14ac:dyDescent="0.2">
      <c r="A9" s="2">
        <v>7</v>
      </c>
      <c r="B9" s="2" t="s">
        <v>25</v>
      </c>
      <c r="C9" s="2" t="s">
        <v>55</v>
      </c>
      <c r="D9" s="8">
        <f>VLOOKUP(B9,courses_program1!A:E,4,0)</f>
        <v>1</v>
      </c>
      <c r="E9" s="8">
        <f>VLOOKUP(B9,courses_program1!A:E,5,0)</f>
        <v>9</v>
      </c>
      <c r="F9" s="8">
        <f>VLOOKUP(C9,courses_program1!A:E,4,0)</f>
        <v>2</v>
      </c>
      <c r="G9" s="8">
        <f>VLOOKUP(C9,courses_program1!A:E,5,0)</f>
        <v>12</v>
      </c>
      <c r="H9" s="2">
        <v>1</v>
      </c>
      <c r="I9" s="2" t="e">
        <f t="shared" ca="1" si="0"/>
        <v>#NAME?</v>
      </c>
    </row>
    <row r="10" spans="1:9" x14ac:dyDescent="0.2">
      <c r="A10" s="2">
        <v>8</v>
      </c>
      <c r="B10" s="2" t="s">
        <v>28</v>
      </c>
      <c r="C10" s="2" t="s">
        <v>63</v>
      </c>
      <c r="D10" s="8">
        <f>VLOOKUP(B10,courses_program1!A:E,4,0)</f>
        <v>0</v>
      </c>
      <c r="E10" s="8">
        <f>VLOOKUP(B10,courses_program1!A:E,5,0)</f>
        <v>6</v>
      </c>
      <c r="F10" s="8">
        <f>VLOOKUP(C10,courses_program1!A:E,4,0)</f>
        <v>0</v>
      </c>
      <c r="G10" s="8">
        <f>VLOOKUP(C10,courses_program1!A:E,5,0)</f>
        <v>15</v>
      </c>
      <c r="H10" s="2">
        <v>1</v>
      </c>
      <c r="I10" s="2" t="e">
        <f t="shared" ca="1" si="0"/>
        <v>#NAME?</v>
      </c>
    </row>
    <row r="11" spans="1:9" x14ac:dyDescent="0.2">
      <c r="A11" s="2">
        <v>9</v>
      </c>
      <c r="B11" s="2" t="s">
        <v>33</v>
      </c>
      <c r="C11" s="2" t="s">
        <v>6</v>
      </c>
      <c r="D11" s="8" t="e">
        <f>VLOOKUP(B11,courses_program1!A:E,4,0)</f>
        <v>#N/A</v>
      </c>
      <c r="E11" s="8" t="e">
        <f>VLOOKUP(B11,courses_program1!A:E,5,0)</f>
        <v>#N/A</v>
      </c>
      <c r="F11" s="8">
        <f>VLOOKUP(C11,courses_program1!A:E,4,0)</f>
        <v>0</v>
      </c>
      <c r="G11" s="8">
        <f>VLOOKUP(C11,courses_program1!A:E,5,0)</f>
        <v>3</v>
      </c>
      <c r="H11" s="2">
        <v>1</v>
      </c>
      <c r="I11" s="2" t="e">
        <f t="shared" ca="1" si="0"/>
        <v>#NAME?</v>
      </c>
    </row>
    <row r="12" spans="1:9" x14ac:dyDescent="0.2">
      <c r="A12" s="2">
        <v>9</v>
      </c>
      <c r="B12" s="2" t="s">
        <v>33</v>
      </c>
      <c r="C12" s="2" t="s">
        <v>16</v>
      </c>
      <c r="D12" s="8" t="e">
        <f>VLOOKUP(B12,courses_program1!A:E,4,0)</f>
        <v>#N/A</v>
      </c>
      <c r="E12" s="8" t="e">
        <f>VLOOKUP(B12,courses_program1!A:E,5,0)</f>
        <v>#N/A</v>
      </c>
      <c r="F12" s="8" t="e">
        <f>VLOOKUP(C12,courses_program1!A:E,4,0)</f>
        <v>#N/A</v>
      </c>
      <c r="G12" s="8" t="e">
        <f>VLOOKUP(C12,courses_program1!A:E,5,0)</f>
        <v>#N/A</v>
      </c>
      <c r="H12" s="2">
        <v>0</v>
      </c>
      <c r="I12" s="2" t="e">
        <f t="shared" ca="1" si="0"/>
        <v>#NAME?</v>
      </c>
    </row>
    <row r="13" spans="1:9" x14ac:dyDescent="0.2">
      <c r="A13" s="2">
        <v>9</v>
      </c>
      <c r="B13" s="2" t="s">
        <v>33</v>
      </c>
      <c r="C13" s="2" t="s">
        <v>17</v>
      </c>
      <c r="D13" s="8" t="e">
        <f>VLOOKUP(B13,courses_program1!A:E,4,0)</f>
        <v>#N/A</v>
      </c>
      <c r="E13" s="8" t="e">
        <f>VLOOKUP(B13,courses_program1!A:E,5,0)</f>
        <v>#N/A</v>
      </c>
      <c r="F13" s="8">
        <f>VLOOKUP(C13,courses_program1!A:E,4,0)</f>
        <v>-2</v>
      </c>
      <c r="G13" s="8">
        <f>VLOOKUP(C13,courses_program1!A:E,5,0)</f>
        <v>0</v>
      </c>
      <c r="H13" s="2">
        <v>0</v>
      </c>
      <c r="I13" s="2" t="e">
        <f t="shared" ca="1" si="0"/>
        <v>#NAME?</v>
      </c>
    </row>
    <row r="14" spans="1:9" x14ac:dyDescent="0.2">
      <c r="A14" s="2">
        <v>9</v>
      </c>
      <c r="B14" s="2" t="s">
        <v>33</v>
      </c>
      <c r="C14" s="2" t="s">
        <v>28</v>
      </c>
      <c r="D14" s="8" t="e">
        <f>VLOOKUP(B14,courses_program1!A:E,4,0)</f>
        <v>#N/A</v>
      </c>
      <c r="E14" s="8" t="e">
        <f>VLOOKUP(B14,courses_program1!A:E,5,0)</f>
        <v>#N/A</v>
      </c>
      <c r="F14" s="8">
        <f>VLOOKUP(C14,courses_program1!A:E,4,0)</f>
        <v>0</v>
      </c>
      <c r="G14" s="8">
        <f>VLOOKUP(C14,courses_program1!A:E,5,0)</f>
        <v>6</v>
      </c>
      <c r="H14" s="2">
        <v>1</v>
      </c>
      <c r="I14" s="2" t="e">
        <f t="shared" ca="1" si="0"/>
        <v>#NAME?</v>
      </c>
    </row>
    <row r="15" spans="1:9" x14ac:dyDescent="0.2">
      <c r="A15" s="2">
        <v>9</v>
      </c>
      <c r="B15" s="2" t="s">
        <v>33</v>
      </c>
      <c r="C15" s="2" t="s">
        <v>12</v>
      </c>
      <c r="D15" s="8" t="e">
        <f>VLOOKUP(B15,courses_program1!A:E,4,0)</f>
        <v>#N/A</v>
      </c>
      <c r="E15" s="8" t="e">
        <f>VLOOKUP(B15,courses_program1!A:E,5,0)</f>
        <v>#N/A</v>
      </c>
      <c r="F15" s="8">
        <f>VLOOKUP(C15,courses_program1!A:E,4,0)</f>
        <v>2</v>
      </c>
      <c r="G15" s="8">
        <f>VLOOKUP(C15,courses_program1!A:E,5,0)</f>
        <v>3</v>
      </c>
      <c r="H15" s="2">
        <v>1</v>
      </c>
      <c r="I15" s="2" t="e">
        <f t="shared" ca="1" si="0"/>
        <v>#NAME?</v>
      </c>
    </row>
    <row r="16" spans="1:9" x14ac:dyDescent="0.2">
      <c r="A16" s="2">
        <v>9</v>
      </c>
      <c r="B16" s="2" t="s">
        <v>33</v>
      </c>
      <c r="C16" s="2" t="s">
        <v>75</v>
      </c>
      <c r="D16" s="8" t="e">
        <f>VLOOKUP(B16,courses_program1!A:E,4,0)</f>
        <v>#N/A</v>
      </c>
      <c r="E16" s="8" t="e">
        <f>VLOOKUP(B16,courses_program1!A:E,5,0)</f>
        <v>#N/A</v>
      </c>
      <c r="F16" s="8">
        <f>VLOOKUP(C16,courses_program1!A:E,4,0)</f>
        <v>1</v>
      </c>
      <c r="G16" s="8">
        <f>VLOOKUP(C16,courses_program1!A:E,5,0)</f>
        <v>21</v>
      </c>
      <c r="H16" s="2">
        <v>1</v>
      </c>
      <c r="I16" s="2" t="e">
        <f t="shared" ca="1" si="0"/>
        <v>#NAME?</v>
      </c>
    </row>
    <row r="17" spans="1:9" x14ac:dyDescent="0.2">
      <c r="A17" s="2">
        <v>10</v>
      </c>
      <c r="B17" s="2" t="s">
        <v>34</v>
      </c>
      <c r="C17" s="2" t="s">
        <v>67</v>
      </c>
      <c r="D17" s="8">
        <f>VLOOKUP(B17,courses_program1!A:E,4,0)</f>
        <v>-1</v>
      </c>
      <c r="E17" s="8">
        <f>VLOOKUP(B17,courses_program1!A:E,5,0)</f>
        <v>9</v>
      </c>
      <c r="F17" s="8">
        <f>VLOOKUP(C17,courses_program1!A:E,4,0)</f>
        <v>0</v>
      </c>
      <c r="G17" s="8">
        <f>VLOOKUP(C17,courses_program1!A:E,5,0)</f>
        <v>12</v>
      </c>
      <c r="H17" s="2">
        <v>1</v>
      </c>
      <c r="I17" s="2" t="e">
        <f t="shared" ca="1" si="0"/>
        <v>#NAME?</v>
      </c>
    </row>
    <row r="18" spans="1:9" x14ac:dyDescent="0.2">
      <c r="A18" s="2">
        <v>11</v>
      </c>
      <c r="B18" s="2" t="s">
        <v>34</v>
      </c>
      <c r="C18" s="2" t="s">
        <v>6</v>
      </c>
      <c r="D18" s="8">
        <f>VLOOKUP(B18,courses_program1!A:E,4,0)</f>
        <v>-1</v>
      </c>
      <c r="E18" s="8">
        <f>VLOOKUP(B18,courses_program1!A:E,5,0)</f>
        <v>9</v>
      </c>
      <c r="F18" s="8">
        <f>VLOOKUP(C18,courses_program1!A:E,4,0)</f>
        <v>0</v>
      </c>
      <c r="G18" s="8">
        <f>VLOOKUP(C18,courses_program1!A:E,5,0)</f>
        <v>3</v>
      </c>
      <c r="H18" s="2">
        <v>1</v>
      </c>
      <c r="I18" s="2" t="e">
        <f t="shared" ca="1" si="0"/>
        <v>#NAME?</v>
      </c>
    </row>
    <row r="19" spans="1:9" x14ac:dyDescent="0.2">
      <c r="A19" s="2">
        <v>11</v>
      </c>
      <c r="B19" s="2" t="s">
        <v>34</v>
      </c>
      <c r="C19" s="2" t="s">
        <v>17</v>
      </c>
      <c r="D19" s="8">
        <f>VLOOKUP(B19,courses_program1!A:E,4,0)</f>
        <v>-1</v>
      </c>
      <c r="E19" s="8">
        <f>VLOOKUP(B19,courses_program1!A:E,5,0)</f>
        <v>9</v>
      </c>
      <c r="F19" s="8">
        <f>VLOOKUP(C19,courses_program1!A:E,4,0)</f>
        <v>-2</v>
      </c>
      <c r="G19" s="8">
        <f>VLOOKUP(C19,courses_program1!A:E,5,0)</f>
        <v>0</v>
      </c>
      <c r="H19" s="2">
        <v>0</v>
      </c>
      <c r="I19" s="2" t="e">
        <f t="shared" ca="1" si="0"/>
        <v>#NAME?</v>
      </c>
    </row>
    <row r="20" spans="1:9" x14ac:dyDescent="0.2">
      <c r="A20" s="2">
        <v>11</v>
      </c>
      <c r="B20" s="2" t="s">
        <v>34</v>
      </c>
      <c r="C20" s="2" t="s">
        <v>21</v>
      </c>
      <c r="D20" s="8">
        <f>VLOOKUP(B20,courses_program1!A:E,4,0)</f>
        <v>-1</v>
      </c>
      <c r="E20" s="8">
        <f>VLOOKUP(B20,courses_program1!A:E,5,0)</f>
        <v>9</v>
      </c>
      <c r="F20" s="8">
        <f>VLOOKUP(C20,courses_program1!A:E,4,0)</f>
        <v>2</v>
      </c>
      <c r="G20" s="8">
        <f>VLOOKUP(C20,courses_program1!A:E,5,0)</f>
        <v>6</v>
      </c>
      <c r="H20" s="2">
        <v>0</v>
      </c>
      <c r="I20" s="2" t="e">
        <f t="shared" ca="1" si="0"/>
        <v>#NAME?</v>
      </c>
    </row>
    <row r="21" spans="1:9" ht="15.75" customHeight="1" x14ac:dyDescent="0.2">
      <c r="A21" s="2">
        <v>12</v>
      </c>
      <c r="B21" s="2" t="s">
        <v>34</v>
      </c>
      <c r="C21" s="2" t="s">
        <v>28</v>
      </c>
      <c r="D21" s="8">
        <f>VLOOKUP(B21,courses_program1!A:E,4,0)</f>
        <v>-1</v>
      </c>
      <c r="E21" s="8">
        <f>VLOOKUP(B21,courses_program1!A:E,5,0)</f>
        <v>9</v>
      </c>
      <c r="F21" s="8">
        <f>VLOOKUP(C21,courses_program1!A:E,4,0)</f>
        <v>0</v>
      </c>
      <c r="G21" s="8">
        <f>VLOOKUP(C21,courses_program1!A:E,5,0)</f>
        <v>6</v>
      </c>
      <c r="H21" s="2">
        <v>1</v>
      </c>
      <c r="I21" s="2" t="e">
        <f t="shared" ca="1" si="0"/>
        <v>#NAME?</v>
      </c>
    </row>
    <row r="22" spans="1:9" ht="15.75" customHeight="1" x14ac:dyDescent="0.2">
      <c r="A22" s="2">
        <v>13</v>
      </c>
      <c r="B22" s="2" t="s">
        <v>38</v>
      </c>
      <c r="C22" s="2" t="s">
        <v>34</v>
      </c>
      <c r="D22" s="8" t="e">
        <f>VLOOKUP(B22,courses_program1!A:E,4,0)</f>
        <v>#N/A</v>
      </c>
      <c r="E22" s="8" t="e">
        <f>VLOOKUP(B22,courses_program1!A:E,5,0)</f>
        <v>#N/A</v>
      </c>
      <c r="F22" s="8">
        <f>VLOOKUP(C22,courses_program1!A:E,4,0)</f>
        <v>-1</v>
      </c>
      <c r="G22" s="8">
        <f>VLOOKUP(C22,courses_program1!A:E,5,0)</f>
        <v>9</v>
      </c>
      <c r="H22" s="2">
        <v>1</v>
      </c>
      <c r="I22" s="2" t="e">
        <f t="shared" ca="1" si="0"/>
        <v>#NAME?</v>
      </c>
    </row>
    <row r="23" spans="1:9" ht="15.75" customHeight="1" x14ac:dyDescent="0.2">
      <c r="A23" s="2">
        <v>14</v>
      </c>
      <c r="B23" s="2" t="s">
        <v>40</v>
      </c>
      <c r="C23" s="2" t="s">
        <v>33</v>
      </c>
      <c r="D23" s="8" t="e">
        <f>VLOOKUP(B23,courses_program1!A:E,4,0)</f>
        <v>#N/A</v>
      </c>
      <c r="E23" s="8" t="e">
        <f>VLOOKUP(B23,courses_program1!A:E,5,0)</f>
        <v>#N/A</v>
      </c>
      <c r="F23" s="8" t="e">
        <f>VLOOKUP(C23,courses_program1!A:E,4,0)</f>
        <v>#N/A</v>
      </c>
      <c r="G23" s="8" t="e">
        <f>VLOOKUP(C23,courses_program1!A:E,5,0)</f>
        <v>#N/A</v>
      </c>
      <c r="H23" s="2">
        <v>1</v>
      </c>
      <c r="I23" s="2" t="e">
        <f t="shared" ca="1" si="0"/>
        <v>#NAME?</v>
      </c>
    </row>
    <row r="24" spans="1:9" ht="15.75" customHeight="1" x14ac:dyDescent="0.2">
      <c r="A24" s="2">
        <v>15</v>
      </c>
      <c r="B24" s="2" t="s">
        <v>41</v>
      </c>
      <c r="C24" s="2" t="s">
        <v>6</v>
      </c>
      <c r="D24" s="8" t="e">
        <f>VLOOKUP(B24,courses_program1!A:E,4,0)</f>
        <v>#N/A</v>
      </c>
      <c r="E24" s="8" t="e">
        <f>VLOOKUP(B24,courses_program1!A:E,5,0)</f>
        <v>#N/A</v>
      </c>
      <c r="F24" s="8">
        <f>VLOOKUP(C24,courses_program1!A:E,4,0)</f>
        <v>0</v>
      </c>
      <c r="G24" s="8">
        <f>VLOOKUP(C24,courses_program1!A:E,5,0)</f>
        <v>3</v>
      </c>
      <c r="H24" s="2">
        <v>1</v>
      </c>
      <c r="I24" s="2" t="e">
        <f t="shared" ca="1" si="0"/>
        <v>#NAME?</v>
      </c>
    </row>
    <row r="25" spans="1:9" ht="15.75" customHeight="1" x14ac:dyDescent="0.2">
      <c r="A25" s="2">
        <v>15</v>
      </c>
      <c r="B25" s="2" t="s">
        <v>41</v>
      </c>
      <c r="C25" s="2" t="s">
        <v>17</v>
      </c>
      <c r="D25" s="8" t="e">
        <f>VLOOKUP(B25,courses_program1!A:E,4,0)</f>
        <v>#N/A</v>
      </c>
      <c r="E25" s="8" t="e">
        <f>VLOOKUP(B25,courses_program1!A:E,5,0)</f>
        <v>#N/A</v>
      </c>
      <c r="F25" s="8">
        <f>VLOOKUP(C25,courses_program1!A:E,4,0)</f>
        <v>-2</v>
      </c>
      <c r="G25" s="8">
        <f>VLOOKUP(C25,courses_program1!A:E,5,0)</f>
        <v>0</v>
      </c>
      <c r="H25" s="2">
        <v>0</v>
      </c>
      <c r="I25" s="2" t="e">
        <f t="shared" ca="1" si="0"/>
        <v>#NAME?</v>
      </c>
    </row>
    <row r="26" spans="1:9" ht="15.75" customHeight="1" x14ac:dyDescent="0.2">
      <c r="A26" s="2">
        <v>16</v>
      </c>
      <c r="B26" s="2" t="s">
        <v>42</v>
      </c>
      <c r="C26" s="2" t="s">
        <v>6</v>
      </c>
      <c r="D26" s="8" t="e">
        <f>VLOOKUP(B26,courses_program1!A:E,4,0)</f>
        <v>#N/A</v>
      </c>
      <c r="E26" s="8" t="e">
        <f>VLOOKUP(B26,courses_program1!A:E,5,0)</f>
        <v>#N/A</v>
      </c>
      <c r="F26" s="8">
        <f>VLOOKUP(C26,courses_program1!A:E,4,0)</f>
        <v>0</v>
      </c>
      <c r="G26" s="8">
        <f>VLOOKUP(C26,courses_program1!A:E,5,0)</f>
        <v>3</v>
      </c>
      <c r="H26" s="2">
        <v>1</v>
      </c>
      <c r="I26" s="2" t="e">
        <f t="shared" ca="1" si="0"/>
        <v>#NAME?</v>
      </c>
    </row>
    <row r="27" spans="1:9" ht="15.75" customHeight="1" x14ac:dyDescent="0.2">
      <c r="A27" s="2">
        <v>16</v>
      </c>
      <c r="B27" s="2" t="s">
        <v>42</v>
      </c>
      <c r="C27" s="2" t="s">
        <v>17</v>
      </c>
      <c r="D27" s="8" t="e">
        <f>VLOOKUP(B27,courses_program1!A:E,4,0)</f>
        <v>#N/A</v>
      </c>
      <c r="E27" s="8" t="e">
        <f>VLOOKUP(B27,courses_program1!A:E,5,0)</f>
        <v>#N/A</v>
      </c>
      <c r="F27" s="8">
        <f>VLOOKUP(C27,courses_program1!A:E,4,0)</f>
        <v>-2</v>
      </c>
      <c r="G27" s="8">
        <f>VLOOKUP(C27,courses_program1!A:E,5,0)</f>
        <v>0</v>
      </c>
      <c r="H27" s="2">
        <v>0</v>
      </c>
      <c r="I27" s="2" t="e">
        <f t="shared" ca="1" si="0"/>
        <v>#NAME?</v>
      </c>
    </row>
    <row r="28" spans="1:9" ht="15.75" customHeight="1" x14ac:dyDescent="0.2">
      <c r="A28" s="2">
        <v>17</v>
      </c>
      <c r="B28" s="2" t="s">
        <v>42</v>
      </c>
      <c r="C28" s="2" t="s">
        <v>28</v>
      </c>
      <c r="D28" s="8" t="e">
        <f>VLOOKUP(B28,courses_program1!A:E,4,0)</f>
        <v>#N/A</v>
      </c>
      <c r="E28" s="8" t="e">
        <f>VLOOKUP(B28,courses_program1!A:E,5,0)</f>
        <v>#N/A</v>
      </c>
      <c r="F28" s="8">
        <f>VLOOKUP(C28,courses_program1!A:E,4,0)</f>
        <v>0</v>
      </c>
      <c r="G28" s="8">
        <f>VLOOKUP(C28,courses_program1!A:E,5,0)</f>
        <v>6</v>
      </c>
      <c r="H28" s="2">
        <v>1</v>
      </c>
      <c r="I28" s="2" t="e">
        <f t="shared" ca="1" si="0"/>
        <v>#NAME?</v>
      </c>
    </row>
    <row r="29" spans="1:9" ht="15.75" customHeight="1" x14ac:dyDescent="0.2">
      <c r="A29" s="2">
        <v>18</v>
      </c>
      <c r="B29" s="2" t="s">
        <v>43</v>
      </c>
      <c r="C29" s="2" t="s">
        <v>33</v>
      </c>
      <c r="D29" s="8" t="e">
        <f>VLOOKUP(B29,courses_program1!A:E,4,0)</f>
        <v>#N/A</v>
      </c>
      <c r="E29" s="8" t="e">
        <f>VLOOKUP(B29,courses_program1!A:E,5,0)</f>
        <v>#N/A</v>
      </c>
      <c r="F29" s="8" t="e">
        <f>VLOOKUP(C29,courses_program1!A:E,4,0)</f>
        <v>#N/A</v>
      </c>
      <c r="G29" s="8" t="e">
        <f>VLOOKUP(C29,courses_program1!A:E,5,0)</f>
        <v>#N/A</v>
      </c>
      <c r="H29" s="2">
        <v>1</v>
      </c>
      <c r="I29" s="2" t="e">
        <f t="shared" ca="1" si="0"/>
        <v>#NAME?</v>
      </c>
    </row>
    <row r="30" spans="1:9" ht="15.75" customHeight="1" x14ac:dyDescent="0.2">
      <c r="A30" s="2">
        <v>19</v>
      </c>
      <c r="B30" s="2" t="s">
        <v>43</v>
      </c>
      <c r="C30" s="2" t="s">
        <v>67</v>
      </c>
      <c r="D30" s="8" t="e">
        <f>VLOOKUP(B30,courses_program1!A:E,4,0)</f>
        <v>#N/A</v>
      </c>
      <c r="E30" s="8" t="e">
        <f>VLOOKUP(B30,courses_program1!A:E,5,0)</f>
        <v>#N/A</v>
      </c>
      <c r="F30" s="8">
        <f>VLOOKUP(C30,courses_program1!A:E,4,0)</f>
        <v>0</v>
      </c>
      <c r="G30" s="8">
        <f>VLOOKUP(C30,courses_program1!A:E,5,0)</f>
        <v>12</v>
      </c>
      <c r="H30" s="2">
        <v>1</v>
      </c>
      <c r="I30" s="2" t="e">
        <f t="shared" ca="1" si="0"/>
        <v>#NAME?</v>
      </c>
    </row>
    <row r="31" spans="1:9" ht="15.75" customHeight="1" x14ac:dyDescent="0.2">
      <c r="A31" s="2">
        <v>20</v>
      </c>
      <c r="B31" s="2" t="s">
        <v>43</v>
      </c>
      <c r="C31" s="2" t="s">
        <v>34</v>
      </c>
      <c r="D31" s="8" t="e">
        <f>VLOOKUP(B31,courses_program1!A:E,4,0)</f>
        <v>#N/A</v>
      </c>
      <c r="E31" s="8" t="e">
        <f>VLOOKUP(B31,courses_program1!A:E,5,0)</f>
        <v>#N/A</v>
      </c>
      <c r="F31" s="8">
        <f>VLOOKUP(C31,courses_program1!A:E,4,0)</f>
        <v>-1</v>
      </c>
      <c r="G31" s="8">
        <f>VLOOKUP(C31,courses_program1!A:E,5,0)</f>
        <v>9</v>
      </c>
      <c r="H31" s="2">
        <v>1</v>
      </c>
      <c r="I31" s="2" t="e">
        <f t="shared" ca="1" si="0"/>
        <v>#NAME?</v>
      </c>
    </row>
    <row r="32" spans="1:9" ht="15.75" customHeight="1" x14ac:dyDescent="0.2">
      <c r="A32" s="2">
        <v>21</v>
      </c>
      <c r="B32" s="2" t="s">
        <v>44</v>
      </c>
      <c r="C32" s="2" t="s">
        <v>28</v>
      </c>
      <c r="D32" s="8" t="e">
        <f>VLOOKUP(B32,courses_program1!A:E,4,0)</f>
        <v>#N/A</v>
      </c>
      <c r="E32" s="8" t="e">
        <f>VLOOKUP(B32,courses_program1!A:E,5,0)</f>
        <v>#N/A</v>
      </c>
      <c r="F32" s="8">
        <f>VLOOKUP(C32,courses_program1!A:E,4,0)</f>
        <v>0</v>
      </c>
      <c r="G32" s="8">
        <f>VLOOKUP(C32,courses_program1!A:E,5,0)</f>
        <v>6</v>
      </c>
      <c r="H32" s="2">
        <v>1</v>
      </c>
      <c r="I32" s="2" t="e">
        <f t="shared" ca="1" si="0"/>
        <v>#NAME?</v>
      </c>
    </row>
    <row r="33" spans="1:9" ht="15.75" customHeight="1" x14ac:dyDescent="0.2">
      <c r="A33" s="2">
        <v>22</v>
      </c>
      <c r="B33" s="2" t="s">
        <v>44</v>
      </c>
      <c r="C33" s="2" t="s">
        <v>33</v>
      </c>
      <c r="D33" s="8" t="e">
        <f>VLOOKUP(B33,courses_program1!A:E,4,0)</f>
        <v>#N/A</v>
      </c>
      <c r="E33" s="8" t="e">
        <f>VLOOKUP(B33,courses_program1!A:E,5,0)</f>
        <v>#N/A</v>
      </c>
      <c r="F33" s="8" t="e">
        <f>VLOOKUP(C33,courses_program1!A:E,4,0)</f>
        <v>#N/A</v>
      </c>
      <c r="G33" s="8" t="e">
        <f>VLOOKUP(C33,courses_program1!A:E,5,0)</f>
        <v>#N/A</v>
      </c>
      <c r="H33" s="2">
        <v>1</v>
      </c>
      <c r="I33" s="2" t="e">
        <f t="shared" ca="1" si="0"/>
        <v>#NAME?</v>
      </c>
    </row>
    <row r="34" spans="1:9" ht="15.75" customHeight="1" x14ac:dyDescent="0.2">
      <c r="A34" s="2">
        <v>22</v>
      </c>
      <c r="B34" s="2" t="s">
        <v>44</v>
      </c>
      <c r="C34" s="2" t="s">
        <v>53</v>
      </c>
      <c r="D34" s="8" t="e">
        <f>VLOOKUP(B34,courses_program1!A:E,4,0)</f>
        <v>#N/A</v>
      </c>
      <c r="E34" s="8" t="e">
        <f>VLOOKUP(B34,courses_program1!A:E,5,0)</f>
        <v>#N/A</v>
      </c>
      <c r="F34" s="8" t="e">
        <f>VLOOKUP(C34,courses_program1!A:E,4,0)</f>
        <v>#N/A</v>
      </c>
      <c r="G34" s="8" t="e">
        <f>VLOOKUP(C34,courses_program1!A:E,5,0)</f>
        <v>#N/A</v>
      </c>
      <c r="H34" s="2">
        <v>0</v>
      </c>
      <c r="I34" s="2" t="e">
        <f t="shared" ca="1" si="0"/>
        <v>#NAME?</v>
      </c>
    </row>
    <row r="35" spans="1:9" ht="15.75" customHeight="1" x14ac:dyDescent="0.2">
      <c r="A35" s="2">
        <v>23</v>
      </c>
      <c r="B35" s="2" t="s">
        <v>45</v>
      </c>
      <c r="C35" s="2" t="s">
        <v>34</v>
      </c>
      <c r="D35" s="8">
        <f>VLOOKUP(B35,courses_program1!A:E,4,0)</f>
        <v>-2</v>
      </c>
      <c r="E35" s="8">
        <f>VLOOKUP(B35,courses_program1!A:E,5,0)</f>
        <v>12</v>
      </c>
      <c r="F35" s="8">
        <f>VLOOKUP(C35,courses_program1!A:E,4,0)</f>
        <v>-1</v>
      </c>
      <c r="G35" s="8">
        <f>VLOOKUP(C35,courses_program1!A:E,5,0)</f>
        <v>9</v>
      </c>
      <c r="H35" s="2">
        <v>1</v>
      </c>
      <c r="I35" s="2" t="e">
        <f t="shared" ca="1" si="0"/>
        <v>#NAME?</v>
      </c>
    </row>
    <row r="36" spans="1:9" ht="15.75" customHeight="1" x14ac:dyDescent="0.2">
      <c r="A36" s="2">
        <v>23</v>
      </c>
      <c r="B36" s="2" t="s">
        <v>45</v>
      </c>
      <c r="C36" s="2" t="s">
        <v>25</v>
      </c>
      <c r="D36" s="8">
        <f>VLOOKUP(B36,courses_program1!A:E,4,0)</f>
        <v>-2</v>
      </c>
      <c r="E36" s="8">
        <f>VLOOKUP(B36,courses_program1!A:E,5,0)</f>
        <v>12</v>
      </c>
      <c r="F36" s="8">
        <f>VLOOKUP(C36,courses_program1!A:E,4,0)</f>
        <v>1</v>
      </c>
      <c r="G36" s="8">
        <f>VLOOKUP(C36,courses_program1!A:E,5,0)</f>
        <v>9</v>
      </c>
      <c r="H36" s="2">
        <v>0</v>
      </c>
      <c r="I36" s="2" t="e">
        <f t="shared" ca="1" si="0"/>
        <v>#NAME?</v>
      </c>
    </row>
    <row r="37" spans="1:9" ht="15.75" customHeight="1" x14ac:dyDescent="0.2">
      <c r="A37" s="2">
        <v>23</v>
      </c>
      <c r="B37" s="2" t="s">
        <v>45</v>
      </c>
      <c r="C37" s="2" t="s">
        <v>67</v>
      </c>
      <c r="D37" s="8">
        <f>VLOOKUP(B37,courses_program1!A:E,4,0)</f>
        <v>-2</v>
      </c>
      <c r="E37" s="8">
        <f>VLOOKUP(B37,courses_program1!A:E,5,0)</f>
        <v>12</v>
      </c>
      <c r="F37" s="8">
        <f>VLOOKUP(C37,courses_program1!A:E,4,0)</f>
        <v>0</v>
      </c>
      <c r="G37" s="8">
        <f>VLOOKUP(C37,courses_program1!A:E,5,0)</f>
        <v>12</v>
      </c>
      <c r="H37" s="2">
        <v>1</v>
      </c>
      <c r="I37" s="2" t="e">
        <f t="shared" ca="1" si="0"/>
        <v>#NAME?</v>
      </c>
    </row>
    <row r="38" spans="1:9" ht="15.75" customHeight="1" x14ac:dyDescent="0.2">
      <c r="A38" s="2">
        <v>23</v>
      </c>
      <c r="B38" s="2" t="s">
        <v>45</v>
      </c>
      <c r="C38" s="2" t="s">
        <v>28</v>
      </c>
      <c r="D38" s="8">
        <f>VLOOKUP(B38,courses_program1!A:E,4,0)</f>
        <v>-2</v>
      </c>
      <c r="E38" s="8">
        <f>VLOOKUP(B38,courses_program1!A:E,5,0)</f>
        <v>12</v>
      </c>
      <c r="F38" s="8">
        <f>VLOOKUP(C38,courses_program1!A:E,4,0)</f>
        <v>0</v>
      </c>
      <c r="G38" s="8">
        <f>VLOOKUP(C38,courses_program1!A:E,5,0)</f>
        <v>6</v>
      </c>
      <c r="H38" s="2">
        <v>1</v>
      </c>
      <c r="I38" s="2" t="e">
        <f t="shared" ca="1" si="0"/>
        <v>#NAME?</v>
      </c>
    </row>
    <row r="39" spans="1:9" ht="15.75" customHeight="1" x14ac:dyDescent="0.2">
      <c r="A39" s="2">
        <v>24</v>
      </c>
      <c r="B39" s="2" t="s">
        <v>48</v>
      </c>
      <c r="C39" s="2" t="s">
        <v>28</v>
      </c>
      <c r="D39" s="8" t="e">
        <f>VLOOKUP(B39,courses_program1!A:E,4,0)</f>
        <v>#N/A</v>
      </c>
      <c r="E39" s="8" t="e">
        <f>VLOOKUP(B39,courses_program1!A:E,5,0)</f>
        <v>#N/A</v>
      </c>
      <c r="F39" s="8">
        <f>VLOOKUP(C39,courses_program1!A:E,4,0)</f>
        <v>0</v>
      </c>
      <c r="G39" s="8">
        <f>VLOOKUP(C39,courses_program1!A:E,5,0)</f>
        <v>6</v>
      </c>
      <c r="H39" s="2">
        <v>1</v>
      </c>
      <c r="I39" s="2" t="e">
        <f t="shared" ca="1" si="0"/>
        <v>#NAME?</v>
      </c>
    </row>
    <row r="40" spans="1:9" ht="15.75" customHeight="1" x14ac:dyDescent="0.2">
      <c r="A40" s="2">
        <v>25</v>
      </c>
      <c r="B40" s="2" t="s">
        <v>48</v>
      </c>
      <c r="C40" s="2" t="s">
        <v>6</v>
      </c>
      <c r="D40" s="8" t="e">
        <f>VLOOKUP(B40,courses_program1!A:E,4,0)</f>
        <v>#N/A</v>
      </c>
      <c r="E40" s="8" t="e">
        <f>VLOOKUP(B40,courses_program1!A:E,5,0)</f>
        <v>#N/A</v>
      </c>
      <c r="F40" s="8">
        <f>VLOOKUP(C40,courses_program1!A:E,4,0)</f>
        <v>0</v>
      </c>
      <c r="G40" s="8">
        <f>VLOOKUP(C40,courses_program1!A:E,5,0)</f>
        <v>3</v>
      </c>
      <c r="H40" s="2">
        <v>1</v>
      </c>
      <c r="I40" s="2" t="e">
        <f t="shared" ca="1" si="0"/>
        <v>#NAME?</v>
      </c>
    </row>
    <row r="41" spans="1:9" ht="15.75" customHeight="1" x14ac:dyDescent="0.2">
      <c r="A41" s="2">
        <v>25</v>
      </c>
      <c r="B41" s="2" t="s">
        <v>48</v>
      </c>
      <c r="C41" s="2" t="s">
        <v>17</v>
      </c>
      <c r="D41" s="8" t="e">
        <f>VLOOKUP(B41,courses_program1!A:E,4,0)</f>
        <v>#N/A</v>
      </c>
      <c r="E41" s="8" t="e">
        <f>VLOOKUP(B41,courses_program1!A:E,5,0)</f>
        <v>#N/A</v>
      </c>
      <c r="F41" s="8">
        <f>VLOOKUP(C41,courses_program1!A:E,4,0)</f>
        <v>-2</v>
      </c>
      <c r="G41" s="8">
        <f>VLOOKUP(C41,courses_program1!A:E,5,0)</f>
        <v>0</v>
      </c>
      <c r="H41" s="2">
        <v>0</v>
      </c>
      <c r="I41" s="2" t="e">
        <f t="shared" ca="1" si="0"/>
        <v>#NAME?</v>
      </c>
    </row>
    <row r="42" spans="1:9" ht="15.75" customHeight="1" x14ac:dyDescent="0.2">
      <c r="A42" s="2">
        <v>25</v>
      </c>
      <c r="B42" s="2" t="s">
        <v>48</v>
      </c>
      <c r="C42" s="2" t="s">
        <v>21</v>
      </c>
      <c r="D42" s="8" t="e">
        <f>VLOOKUP(B42,courses_program1!A:E,4,0)</f>
        <v>#N/A</v>
      </c>
      <c r="E42" s="8" t="e">
        <f>VLOOKUP(B42,courses_program1!A:E,5,0)</f>
        <v>#N/A</v>
      </c>
      <c r="F42" s="8">
        <f>VLOOKUP(C42,courses_program1!A:E,4,0)</f>
        <v>2</v>
      </c>
      <c r="G42" s="8">
        <f>VLOOKUP(C42,courses_program1!A:E,5,0)</f>
        <v>6</v>
      </c>
      <c r="H42" s="2">
        <v>0</v>
      </c>
      <c r="I42" s="2" t="e">
        <f t="shared" ca="1" si="0"/>
        <v>#NAME?</v>
      </c>
    </row>
    <row r="43" spans="1:9" ht="15.75" customHeight="1" x14ac:dyDescent="0.2">
      <c r="A43" s="2">
        <v>26</v>
      </c>
      <c r="B43" s="2" t="s">
        <v>48</v>
      </c>
      <c r="C43" s="2" t="s">
        <v>33</v>
      </c>
      <c r="D43" s="8" t="e">
        <f>VLOOKUP(B43,courses_program1!A:E,4,0)</f>
        <v>#N/A</v>
      </c>
      <c r="E43" s="8" t="e">
        <f>VLOOKUP(B43,courses_program1!A:E,5,0)</f>
        <v>#N/A</v>
      </c>
      <c r="F43" s="8" t="e">
        <f>VLOOKUP(C43,courses_program1!A:E,4,0)</f>
        <v>#N/A</v>
      </c>
      <c r="G43" s="8" t="e">
        <f>VLOOKUP(C43,courses_program1!A:E,5,0)</f>
        <v>#N/A</v>
      </c>
      <c r="H43" s="2">
        <v>1</v>
      </c>
      <c r="I43" s="2" t="e">
        <f t="shared" ca="1" si="0"/>
        <v>#NAME?</v>
      </c>
    </row>
    <row r="44" spans="1:9" ht="15.75" customHeight="1" x14ac:dyDescent="0.2">
      <c r="A44" s="2">
        <v>27</v>
      </c>
      <c r="B44" s="2" t="s">
        <v>49</v>
      </c>
      <c r="C44" s="2" t="s">
        <v>34</v>
      </c>
      <c r="D44" s="8" t="e">
        <f>VLOOKUP(B44,courses_program1!A:E,4,0)</f>
        <v>#N/A</v>
      </c>
      <c r="E44" s="8" t="e">
        <f>VLOOKUP(B44,courses_program1!A:E,5,0)</f>
        <v>#N/A</v>
      </c>
      <c r="F44" s="8">
        <f>VLOOKUP(C44,courses_program1!A:E,4,0)</f>
        <v>-1</v>
      </c>
      <c r="G44" s="8">
        <f>VLOOKUP(C44,courses_program1!A:E,5,0)</f>
        <v>9</v>
      </c>
      <c r="H44" s="2">
        <v>1</v>
      </c>
      <c r="I44" s="2" t="e">
        <f t="shared" ca="1" si="0"/>
        <v>#NAME?</v>
      </c>
    </row>
    <row r="45" spans="1:9" ht="15.75" customHeight="1" x14ac:dyDescent="0.2">
      <c r="A45" s="2">
        <v>28</v>
      </c>
      <c r="B45" s="2" t="s">
        <v>50</v>
      </c>
      <c r="C45" s="2" t="s">
        <v>33</v>
      </c>
      <c r="D45" s="8" t="e">
        <f>VLOOKUP(B45,courses_program1!A:E,4,0)</f>
        <v>#N/A</v>
      </c>
      <c r="E45" s="8" t="e">
        <f>VLOOKUP(B45,courses_program1!A:E,5,0)</f>
        <v>#N/A</v>
      </c>
      <c r="F45" s="8" t="e">
        <f>VLOOKUP(C45,courses_program1!A:E,4,0)</f>
        <v>#N/A</v>
      </c>
      <c r="G45" s="8" t="e">
        <f>VLOOKUP(C45,courses_program1!A:E,5,0)</f>
        <v>#N/A</v>
      </c>
      <c r="H45" s="2">
        <v>1</v>
      </c>
      <c r="I45" s="2" t="e">
        <f t="shared" ca="1" si="0"/>
        <v>#NAME?</v>
      </c>
    </row>
    <row r="46" spans="1:9" ht="15.75" customHeight="1" x14ac:dyDescent="0.2">
      <c r="A46" s="2">
        <v>30</v>
      </c>
      <c r="B46" s="2" t="s">
        <v>52</v>
      </c>
      <c r="C46" s="2" t="s">
        <v>34</v>
      </c>
      <c r="D46" s="8" t="e">
        <f>VLOOKUP(B46,courses_program1!A:E,4,0)</f>
        <v>#N/A</v>
      </c>
      <c r="E46" s="8" t="e">
        <f>VLOOKUP(B46,courses_program1!A:E,5,0)</f>
        <v>#N/A</v>
      </c>
      <c r="F46" s="8">
        <f>VLOOKUP(C46,courses_program1!A:E,4,0)</f>
        <v>-1</v>
      </c>
      <c r="G46" s="8">
        <f>VLOOKUP(C46,courses_program1!A:E,5,0)</f>
        <v>9</v>
      </c>
      <c r="H46" s="2">
        <v>1</v>
      </c>
      <c r="I46" s="2" t="e">
        <f t="shared" ca="1" si="0"/>
        <v>#NAME?</v>
      </c>
    </row>
    <row r="47" spans="1:9" ht="15.75" customHeight="1" x14ac:dyDescent="0.2">
      <c r="A47" s="2">
        <v>31</v>
      </c>
      <c r="B47" s="2" t="s">
        <v>53</v>
      </c>
      <c r="C47" s="2" t="s">
        <v>71</v>
      </c>
      <c r="D47" s="8" t="e">
        <f>VLOOKUP(B47,courses_program1!A:E,4,0)</f>
        <v>#N/A</v>
      </c>
      <c r="E47" s="8" t="e">
        <f>VLOOKUP(B47,courses_program1!A:E,5,0)</f>
        <v>#N/A</v>
      </c>
      <c r="F47" s="8" t="e">
        <f>VLOOKUP(C47,courses_program1!A:E,4,0)</f>
        <v>#N/A</v>
      </c>
      <c r="G47" s="8" t="e">
        <f>VLOOKUP(C47,courses_program1!A:E,5,0)</f>
        <v>#N/A</v>
      </c>
      <c r="H47" s="2">
        <v>1</v>
      </c>
      <c r="I47" s="2" t="e">
        <f t="shared" ca="1" si="0"/>
        <v>#NAME?</v>
      </c>
    </row>
    <row r="48" spans="1:9" ht="15.75" customHeight="1" x14ac:dyDescent="0.2">
      <c r="A48" s="2">
        <v>32</v>
      </c>
      <c r="B48" s="2" t="s">
        <v>53</v>
      </c>
      <c r="C48" s="2" t="s">
        <v>33</v>
      </c>
      <c r="D48" s="8" t="e">
        <f>VLOOKUP(B48,courses_program1!A:E,4,0)</f>
        <v>#N/A</v>
      </c>
      <c r="E48" s="8" t="e">
        <f>VLOOKUP(B48,courses_program1!A:E,5,0)</f>
        <v>#N/A</v>
      </c>
      <c r="F48" s="8" t="e">
        <f>VLOOKUP(C48,courses_program1!A:E,4,0)</f>
        <v>#N/A</v>
      </c>
      <c r="G48" s="8" t="e">
        <f>VLOOKUP(C48,courses_program1!A:E,5,0)</f>
        <v>#N/A</v>
      </c>
      <c r="H48" s="2">
        <v>1</v>
      </c>
      <c r="I48" s="2" t="e">
        <f t="shared" ca="1" si="0"/>
        <v>#NAME?</v>
      </c>
    </row>
    <row r="49" spans="1:9" ht="15.75" customHeight="1" x14ac:dyDescent="0.2">
      <c r="A49" s="2">
        <v>33</v>
      </c>
      <c r="B49" s="2" t="s">
        <v>53</v>
      </c>
      <c r="C49" s="2" t="s">
        <v>67</v>
      </c>
      <c r="D49" s="8" t="e">
        <f>VLOOKUP(B49,courses_program1!A:E,4,0)</f>
        <v>#N/A</v>
      </c>
      <c r="E49" s="8" t="e">
        <f>VLOOKUP(B49,courses_program1!A:E,5,0)</f>
        <v>#N/A</v>
      </c>
      <c r="F49" s="8">
        <f>VLOOKUP(C49,courses_program1!A:E,4,0)</f>
        <v>0</v>
      </c>
      <c r="G49" s="8">
        <f>VLOOKUP(C49,courses_program1!A:E,5,0)</f>
        <v>12</v>
      </c>
      <c r="H49" s="2">
        <v>1</v>
      </c>
      <c r="I49" s="2" t="e">
        <f t="shared" ca="1" si="0"/>
        <v>#NAME?</v>
      </c>
    </row>
    <row r="50" spans="1:9" ht="15.75" customHeight="1" x14ac:dyDescent="0.2">
      <c r="A50" s="2">
        <v>34</v>
      </c>
      <c r="B50" s="2" t="s">
        <v>54</v>
      </c>
      <c r="C50" s="2" t="s">
        <v>53</v>
      </c>
      <c r="D50" s="8" t="e">
        <f>VLOOKUP(B50,courses_program1!A:E,4,0)</f>
        <v>#N/A</v>
      </c>
      <c r="E50" s="8" t="e">
        <f>VLOOKUP(B50,courses_program1!A:E,5,0)</f>
        <v>#N/A</v>
      </c>
      <c r="F50" s="8" t="e">
        <f>VLOOKUP(C50,courses_program1!A:E,4,0)</f>
        <v>#N/A</v>
      </c>
      <c r="G50" s="8" t="e">
        <f>VLOOKUP(C50,courses_program1!A:E,5,0)</f>
        <v>#N/A</v>
      </c>
      <c r="H50" s="2">
        <v>1</v>
      </c>
      <c r="I50" s="2" t="e">
        <f t="shared" ca="1" si="0"/>
        <v>#NAME?</v>
      </c>
    </row>
    <row r="51" spans="1:9" ht="15.75" customHeight="1" x14ac:dyDescent="0.2">
      <c r="A51" s="2">
        <v>36</v>
      </c>
      <c r="B51" s="2" t="s">
        <v>59</v>
      </c>
      <c r="C51" s="2" t="s">
        <v>55</v>
      </c>
      <c r="D51" s="8">
        <f>VLOOKUP(B51,courses_program1!A:E,4,0)</f>
        <v>2</v>
      </c>
      <c r="E51" s="8">
        <f>VLOOKUP(B51,courses_program1!A:E,5,0)</f>
        <v>15</v>
      </c>
      <c r="F51" s="8">
        <f>VLOOKUP(C51,courses_program1!A:E,4,0)</f>
        <v>2</v>
      </c>
      <c r="G51" s="8">
        <f>VLOOKUP(C51,courses_program1!A:E,5,0)</f>
        <v>12</v>
      </c>
      <c r="H51" s="2">
        <v>1</v>
      </c>
      <c r="I51" s="2" t="e">
        <f t="shared" ca="1" si="0"/>
        <v>#NAME?</v>
      </c>
    </row>
    <row r="52" spans="1:9" ht="15.75" customHeight="1" x14ac:dyDescent="0.2">
      <c r="A52" s="2">
        <v>37</v>
      </c>
      <c r="B52" s="2" t="s">
        <v>63</v>
      </c>
      <c r="C52" s="2" t="s">
        <v>59</v>
      </c>
      <c r="D52" s="8">
        <f>VLOOKUP(B52,courses_program1!A:E,4,0)</f>
        <v>0</v>
      </c>
      <c r="E52" s="8">
        <f>VLOOKUP(B52,courses_program1!A:E,5,0)</f>
        <v>15</v>
      </c>
      <c r="F52" s="8">
        <f>VLOOKUP(C52,courses_program1!A:E,4,0)</f>
        <v>2</v>
      </c>
      <c r="G52" s="8">
        <f>VLOOKUP(C52,courses_program1!A:E,5,0)</f>
        <v>15</v>
      </c>
      <c r="H52" s="2">
        <v>1</v>
      </c>
      <c r="I52" s="2" t="e">
        <f t="shared" ca="1" si="0"/>
        <v>#NAME?</v>
      </c>
    </row>
    <row r="53" spans="1:9" ht="15.75" customHeight="1" x14ac:dyDescent="0.2">
      <c r="A53" s="2">
        <v>38</v>
      </c>
      <c r="B53" s="2" t="s">
        <v>67</v>
      </c>
      <c r="C53" s="2" t="s">
        <v>55</v>
      </c>
      <c r="D53" s="8">
        <f>VLOOKUP(B53,courses_program1!A:E,4,0)</f>
        <v>0</v>
      </c>
      <c r="E53" s="8">
        <f>VLOOKUP(B53,courses_program1!A:E,5,0)</f>
        <v>12</v>
      </c>
      <c r="F53" s="8">
        <f>VLOOKUP(C53,courses_program1!A:E,4,0)</f>
        <v>2</v>
      </c>
      <c r="G53" s="8">
        <f>VLOOKUP(C53,courses_program1!A:E,5,0)</f>
        <v>12</v>
      </c>
      <c r="H53" s="2">
        <v>1</v>
      </c>
      <c r="I53" s="2" t="e">
        <f t="shared" ca="1" si="0"/>
        <v>#NAME?</v>
      </c>
    </row>
    <row r="54" spans="1:9" ht="15.75" customHeight="1" x14ac:dyDescent="0.2">
      <c r="A54" s="2">
        <v>39</v>
      </c>
      <c r="B54" s="2" t="s">
        <v>71</v>
      </c>
      <c r="C54" s="2" t="s">
        <v>63</v>
      </c>
      <c r="D54" s="8" t="e">
        <f>VLOOKUP(B54,courses_program1!A:E,4,0)</f>
        <v>#N/A</v>
      </c>
      <c r="E54" s="8" t="e">
        <f>VLOOKUP(B54,courses_program1!A:E,5,0)</f>
        <v>#N/A</v>
      </c>
      <c r="F54" s="8">
        <f>VLOOKUP(C54,courses_program1!A:E,4,0)</f>
        <v>0</v>
      </c>
      <c r="G54" s="8">
        <f>VLOOKUP(C54,courses_program1!A:E,5,0)</f>
        <v>15</v>
      </c>
      <c r="H54" s="2">
        <v>1</v>
      </c>
      <c r="I54" s="2" t="e">
        <f t="shared" ca="1" si="0"/>
        <v>#NAME?</v>
      </c>
    </row>
    <row r="55" spans="1:9" ht="15.75" customHeight="1" x14ac:dyDescent="0.2">
      <c r="A55" s="2">
        <v>41</v>
      </c>
      <c r="B55" s="2" t="s">
        <v>75</v>
      </c>
      <c r="C55" s="2" t="s">
        <v>72</v>
      </c>
      <c r="D55" s="8">
        <f>VLOOKUP(B55,courses_program1!A:E,4,0)</f>
        <v>1</v>
      </c>
      <c r="E55" s="8">
        <f>VLOOKUP(B55,courses_program1!A:E,5,0)</f>
        <v>21</v>
      </c>
      <c r="F55" s="8">
        <f>VLOOKUP(C55,courses_program1!A:E,4,0)</f>
        <v>0</v>
      </c>
      <c r="G55" s="8">
        <f>VLOOKUP(C55,courses_program1!A:E,5,0)</f>
        <v>18</v>
      </c>
      <c r="H55" s="2">
        <v>1</v>
      </c>
      <c r="I55" s="2" t="e">
        <f t="shared" ca="1" si="0"/>
        <v>#NAME?</v>
      </c>
    </row>
    <row r="56" spans="1:9" ht="15.75" customHeight="1" x14ac:dyDescent="0.2">
      <c r="D56" s="8"/>
      <c r="E56" s="8"/>
      <c r="F56" s="8"/>
      <c r="G56" s="8"/>
    </row>
    <row r="57" spans="1:9" ht="15.75" customHeight="1" x14ac:dyDescent="0.2">
      <c r="D57" s="8"/>
      <c r="E57" s="8"/>
      <c r="F57" s="8"/>
      <c r="G57" s="8"/>
    </row>
    <row r="58" spans="1:9" ht="15.75" customHeight="1" x14ac:dyDescent="0.2">
      <c r="D58" s="8"/>
      <c r="E58" s="8"/>
      <c r="F58" s="8"/>
      <c r="G58" s="8"/>
    </row>
    <row r="59" spans="1:9" ht="15.75" customHeight="1" x14ac:dyDescent="0.2">
      <c r="D59" s="8"/>
      <c r="E59" s="8"/>
      <c r="F59" s="8"/>
      <c r="G59" s="8"/>
    </row>
    <row r="60" spans="1:9" ht="15.75" customHeight="1" x14ac:dyDescent="0.2">
      <c r="D60" s="8"/>
      <c r="E60" s="8"/>
      <c r="F60" s="8"/>
      <c r="G60" s="8"/>
    </row>
    <row r="61" spans="1:9" ht="15.75" customHeight="1" x14ac:dyDescent="0.2">
      <c r="D61" s="8"/>
      <c r="E61" s="8"/>
      <c r="F61" s="8"/>
      <c r="G61" s="8"/>
    </row>
    <row r="62" spans="1:9" ht="15.75" customHeight="1" x14ac:dyDescent="0.2">
      <c r="D62" s="8"/>
      <c r="E62" s="8"/>
      <c r="F62" s="8"/>
      <c r="G62" s="8"/>
    </row>
    <row r="63" spans="1:9" ht="15.75" customHeight="1" x14ac:dyDescent="0.2">
      <c r="D63" s="8"/>
      <c r="E63" s="8"/>
      <c r="F63" s="8"/>
      <c r="G63" s="8"/>
    </row>
    <row r="64" spans="1:9" ht="15.75" customHeight="1" x14ac:dyDescent="0.2">
      <c r="D64" s="8"/>
      <c r="E64" s="8"/>
      <c r="F64" s="8"/>
      <c r="G64" s="8"/>
    </row>
    <row r="65" spans="4:8" ht="15.75" customHeight="1" x14ac:dyDescent="0.2">
      <c r="D65" s="8"/>
      <c r="E65" s="8"/>
      <c r="F65" s="8"/>
      <c r="G65" s="8"/>
    </row>
    <row r="66" spans="4:8" ht="15.75" customHeight="1" x14ac:dyDescent="0.2">
      <c r="D66" s="8"/>
      <c r="E66" s="8"/>
      <c r="F66" s="8"/>
      <c r="G66" s="8"/>
    </row>
    <row r="67" spans="4:8" ht="15.75" customHeight="1" x14ac:dyDescent="0.2">
      <c r="D67" s="8"/>
      <c r="E67" s="8"/>
      <c r="F67" s="8"/>
      <c r="G67" s="8"/>
    </row>
    <row r="68" spans="4:8" ht="15.75" customHeight="1" x14ac:dyDescent="0.2">
      <c r="D68" s="8"/>
      <c r="E68" s="8"/>
      <c r="F68" s="8"/>
      <c r="G68" s="8"/>
    </row>
    <row r="69" spans="4:8" ht="15.75" customHeight="1" x14ac:dyDescent="0.2">
      <c r="D69" s="8"/>
      <c r="E69" s="8"/>
      <c r="F69" s="8"/>
      <c r="G69" s="8"/>
    </row>
    <row r="70" spans="4:8" ht="15.75" customHeight="1" x14ac:dyDescent="0.2">
      <c r="D70" s="8"/>
      <c r="E70" s="8"/>
      <c r="F70" s="8"/>
      <c r="G70" s="8"/>
    </row>
    <row r="71" spans="4:8" ht="15.75" customHeight="1" x14ac:dyDescent="0.2">
      <c r="D71" s="8"/>
      <c r="E71" s="8"/>
      <c r="F71" s="8"/>
      <c r="G71" s="8"/>
    </row>
    <row r="72" spans="4:8" ht="15.75" customHeight="1" x14ac:dyDescent="0.2">
      <c r="D72" s="8"/>
      <c r="E72" s="8"/>
      <c r="F72" s="8"/>
      <c r="G72" s="8"/>
    </row>
    <row r="73" spans="4:8" ht="15.75" customHeight="1" x14ac:dyDescent="0.2">
      <c r="D73" s="8"/>
      <c r="E73" s="8"/>
      <c r="F73" s="8"/>
      <c r="G73" s="8"/>
    </row>
    <row r="74" spans="4:8" ht="15.75" customHeight="1" x14ac:dyDescent="0.2">
      <c r="D74" s="8"/>
      <c r="E74" s="8"/>
      <c r="F74" s="8"/>
      <c r="G74" s="8"/>
      <c r="H74" s="7"/>
    </row>
    <row r="75" spans="4:8" ht="15.75" customHeight="1" x14ac:dyDescent="0.2"/>
    <row r="76" spans="4:8" ht="15.75" customHeight="1" x14ac:dyDescent="0.2"/>
    <row r="77" spans="4:8" ht="15.75" customHeight="1" x14ac:dyDescent="0.2"/>
    <row r="78" spans="4:8" ht="15.75" customHeight="1" x14ac:dyDescent="0.2"/>
    <row r="79" spans="4:8" ht="15.75" customHeight="1" x14ac:dyDescent="0.2"/>
    <row r="80" spans="4: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baseColWidth="10" defaultColWidth="14.5" defaultRowHeight="15" customHeight="1" x14ac:dyDescent="0.2"/>
  <cols>
    <col min="1" max="1" width="13.83203125" customWidth="1"/>
    <col min="2" max="6" width="10.6640625" customWidth="1"/>
  </cols>
  <sheetData>
    <row r="1" spans="1:13" x14ac:dyDescent="0.2">
      <c r="A1" s="1" t="s">
        <v>0</v>
      </c>
      <c r="B1" s="5" t="s">
        <v>121</v>
      </c>
      <c r="C1" s="5" t="s">
        <v>122</v>
      </c>
      <c r="D1" s="5" t="s">
        <v>123</v>
      </c>
      <c r="E1" s="5" t="s">
        <v>124</v>
      </c>
      <c r="F1" s="4" t="s">
        <v>125</v>
      </c>
      <c r="H1" s="1"/>
      <c r="I1" s="5"/>
      <c r="J1" s="5"/>
      <c r="K1" s="5"/>
      <c r="L1" s="5"/>
      <c r="M1" s="5"/>
    </row>
    <row r="2" spans="1:13" x14ac:dyDescent="0.2">
      <c r="A2" s="5" t="s">
        <v>6</v>
      </c>
      <c r="B2" s="5">
        <v>2</v>
      </c>
      <c r="C2" s="5">
        <v>16</v>
      </c>
      <c r="D2" s="2">
        <v>0</v>
      </c>
      <c r="E2" s="2">
        <v>3</v>
      </c>
      <c r="F2" s="4">
        <v>1</v>
      </c>
      <c r="H2" s="5"/>
      <c r="I2" s="5"/>
      <c r="J2" s="5"/>
      <c r="M2" s="5"/>
    </row>
    <row r="3" spans="1:13" x14ac:dyDescent="0.2">
      <c r="A3" s="5" t="s">
        <v>12</v>
      </c>
      <c r="B3" s="5">
        <v>2</v>
      </c>
      <c r="C3" s="5">
        <v>24</v>
      </c>
      <c r="D3" s="2">
        <v>2</v>
      </c>
      <c r="E3" s="2">
        <v>3</v>
      </c>
      <c r="F3" s="4">
        <v>1</v>
      </c>
      <c r="H3" s="5"/>
      <c r="I3" s="5"/>
      <c r="J3" s="5"/>
      <c r="M3" s="5"/>
    </row>
    <row r="4" spans="1:13" x14ac:dyDescent="0.2">
      <c r="A4" s="5" t="s">
        <v>16</v>
      </c>
      <c r="B4" s="5">
        <v>1</v>
      </c>
      <c r="C4" s="5">
        <v>8</v>
      </c>
      <c r="D4" s="2">
        <v>-2</v>
      </c>
      <c r="E4" s="2">
        <v>0</v>
      </c>
      <c r="F4" s="4">
        <v>0</v>
      </c>
      <c r="H4" s="5"/>
      <c r="I4" s="5"/>
      <c r="J4" s="5"/>
      <c r="M4" s="5"/>
    </row>
    <row r="5" spans="1:13" x14ac:dyDescent="0.2">
      <c r="A5" s="5" t="s">
        <v>17</v>
      </c>
      <c r="B5" s="5">
        <v>3</v>
      </c>
      <c r="C5" s="5">
        <v>8</v>
      </c>
      <c r="D5" s="2">
        <v>2</v>
      </c>
      <c r="E5" s="2">
        <v>6</v>
      </c>
      <c r="F5" s="4">
        <v>0</v>
      </c>
      <c r="H5" s="5"/>
      <c r="I5" s="5"/>
      <c r="J5" s="5"/>
      <c r="M5" s="5"/>
    </row>
    <row r="6" spans="1:13" x14ac:dyDescent="0.2">
      <c r="A6" s="5" t="s">
        <v>21</v>
      </c>
      <c r="B6" s="5">
        <v>3</v>
      </c>
      <c r="C6" s="5">
        <v>20</v>
      </c>
      <c r="D6" s="2">
        <v>1</v>
      </c>
      <c r="E6" s="2">
        <v>9</v>
      </c>
      <c r="F6" s="4">
        <v>0</v>
      </c>
      <c r="H6" s="5"/>
      <c r="I6" s="5"/>
      <c r="J6" s="5"/>
      <c r="M6" s="5"/>
    </row>
    <row r="7" spans="1:13" x14ac:dyDescent="0.2">
      <c r="A7" s="5" t="s">
        <v>25</v>
      </c>
      <c r="B7" s="5">
        <v>3</v>
      </c>
      <c r="C7" s="5">
        <v>24</v>
      </c>
      <c r="D7" s="2">
        <v>0</v>
      </c>
      <c r="E7" s="2">
        <v>6</v>
      </c>
      <c r="F7" s="4">
        <v>1</v>
      </c>
      <c r="H7" s="5"/>
      <c r="I7" s="5"/>
      <c r="J7" s="5"/>
      <c r="M7" s="5"/>
    </row>
    <row r="8" spans="1:13" x14ac:dyDescent="0.2">
      <c r="A8" s="5" t="s">
        <v>28</v>
      </c>
      <c r="B8" s="5">
        <v>4</v>
      </c>
      <c r="C8" s="5">
        <v>16</v>
      </c>
      <c r="D8" s="2">
        <v>-1</v>
      </c>
      <c r="E8" s="2">
        <v>9</v>
      </c>
      <c r="F8" s="4">
        <v>1</v>
      </c>
      <c r="H8" s="5"/>
      <c r="I8" s="5"/>
      <c r="J8" s="5"/>
      <c r="M8" s="5"/>
    </row>
    <row r="9" spans="1:13" x14ac:dyDescent="0.2">
      <c r="A9" s="4" t="s">
        <v>33</v>
      </c>
      <c r="B9" s="4">
        <v>5</v>
      </c>
      <c r="C9" s="4">
        <v>18</v>
      </c>
      <c r="D9" s="2">
        <v>-2</v>
      </c>
      <c r="E9" s="2">
        <v>12</v>
      </c>
      <c r="F9" s="4">
        <v>1</v>
      </c>
      <c r="H9" s="4"/>
      <c r="I9" s="4"/>
      <c r="J9" s="4"/>
      <c r="M9" s="5"/>
    </row>
    <row r="10" spans="1:13" x14ac:dyDescent="0.2">
      <c r="A10" s="4" t="s">
        <v>34</v>
      </c>
      <c r="B10" s="4">
        <v>5</v>
      </c>
      <c r="C10" s="4">
        <v>15</v>
      </c>
      <c r="D10" s="2">
        <v>2</v>
      </c>
      <c r="E10" s="2">
        <v>12</v>
      </c>
      <c r="F10" s="4">
        <v>1</v>
      </c>
      <c r="H10" s="4"/>
      <c r="I10" s="4"/>
      <c r="J10" s="4"/>
      <c r="M10" s="5"/>
    </row>
    <row r="11" spans="1:13" x14ac:dyDescent="0.2">
      <c r="A11" s="4" t="s">
        <v>38</v>
      </c>
      <c r="B11" s="4">
        <v>6</v>
      </c>
      <c r="C11" s="4">
        <v>14</v>
      </c>
      <c r="D11" s="2">
        <v>2</v>
      </c>
      <c r="E11" s="2">
        <v>15</v>
      </c>
      <c r="F11" s="4">
        <v>0</v>
      </c>
      <c r="H11" s="4"/>
      <c r="I11" s="4"/>
      <c r="J11" s="4"/>
      <c r="M11" s="5"/>
    </row>
    <row r="12" spans="1:13" ht="16" x14ac:dyDescent="0.2">
      <c r="A12" s="4" t="s">
        <v>39</v>
      </c>
      <c r="B12" s="7">
        <v>6</v>
      </c>
      <c r="C12" s="7">
        <v>13</v>
      </c>
      <c r="D12" s="2">
        <v>0</v>
      </c>
      <c r="E12" s="2">
        <v>15</v>
      </c>
      <c r="F12" s="4">
        <v>0</v>
      </c>
      <c r="H12" s="4"/>
      <c r="I12" s="7"/>
      <c r="J12" s="7"/>
      <c r="M12" s="5"/>
    </row>
    <row r="13" spans="1:13" x14ac:dyDescent="0.2">
      <c r="A13" s="4" t="s">
        <v>40</v>
      </c>
      <c r="B13" s="4">
        <v>6</v>
      </c>
      <c r="C13" s="4">
        <v>18.25</v>
      </c>
      <c r="D13" s="2">
        <v>-2</v>
      </c>
      <c r="E13" s="2">
        <v>15</v>
      </c>
      <c r="F13" s="4">
        <v>0</v>
      </c>
      <c r="H13" s="4"/>
      <c r="I13" s="4"/>
      <c r="J13" s="4"/>
      <c r="M13" s="5"/>
    </row>
    <row r="14" spans="1:13" x14ac:dyDescent="0.2">
      <c r="A14" s="4" t="s">
        <v>41</v>
      </c>
      <c r="B14" s="4">
        <v>3</v>
      </c>
      <c r="C14" s="4">
        <v>18</v>
      </c>
      <c r="D14" s="2">
        <v>3</v>
      </c>
      <c r="E14" s="2">
        <v>9</v>
      </c>
      <c r="F14" s="4">
        <v>0</v>
      </c>
      <c r="H14" s="4"/>
      <c r="I14" s="4"/>
      <c r="J14" s="4"/>
      <c r="M14" s="5"/>
    </row>
    <row r="15" spans="1:13" x14ac:dyDescent="0.2">
      <c r="A15" s="4" t="s">
        <v>42</v>
      </c>
      <c r="B15" s="4">
        <v>5</v>
      </c>
      <c r="C15" s="4">
        <v>14</v>
      </c>
      <c r="D15" s="2">
        <v>0</v>
      </c>
      <c r="E15" s="2">
        <v>12</v>
      </c>
      <c r="F15" s="4">
        <v>0</v>
      </c>
      <c r="H15" s="4"/>
      <c r="I15" s="4"/>
      <c r="J15" s="4"/>
      <c r="M15" s="5"/>
    </row>
    <row r="16" spans="1:13" x14ac:dyDescent="0.2">
      <c r="A16" s="4" t="s">
        <v>43</v>
      </c>
      <c r="B16" s="4">
        <v>7</v>
      </c>
      <c r="C16" s="4">
        <v>18</v>
      </c>
      <c r="D16" s="2">
        <v>0</v>
      </c>
      <c r="E16" s="2">
        <v>18</v>
      </c>
      <c r="F16" s="4">
        <v>1</v>
      </c>
      <c r="H16" s="4"/>
      <c r="I16" s="4"/>
      <c r="J16" s="4"/>
      <c r="M16" s="5"/>
    </row>
    <row r="17" spans="1:13" x14ac:dyDescent="0.2">
      <c r="A17" s="4" t="s">
        <v>44</v>
      </c>
      <c r="B17" s="4">
        <v>7</v>
      </c>
      <c r="C17" s="4">
        <v>19</v>
      </c>
      <c r="D17" s="2">
        <v>1</v>
      </c>
      <c r="E17" s="2">
        <v>21</v>
      </c>
      <c r="F17" s="4">
        <v>0</v>
      </c>
      <c r="H17" s="4"/>
      <c r="I17" s="4"/>
      <c r="J17" s="4"/>
      <c r="M17" s="5"/>
    </row>
    <row r="18" spans="1:13" x14ac:dyDescent="0.2">
      <c r="A18" s="4" t="s">
        <v>45</v>
      </c>
      <c r="B18" s="4">
        <v>7</v>
      </c>
      <c r="C18" s="4">
        <v>17</v>
      </c>
      <c r="D18" s="2">
        <v>2</v>
      </c>
      <c r="E18" s="2">
        <v>18</v>
      </c>
      <c r="F18" s="4">
        <v>0</v>
      </c>
      <c r="H18" s="4"/>
      <c r="I18" s="4"/>
      <c r="J18" s="4"/>
      <c r="M18" s="5"/>
    </row>
    <row r="19" spans="1:13" x14ac:dyDescent="0.2">
      <c r="A19" s="4" t="s">
        <v>48</v>
      </c>
      <c r="B19" s="4">
        <v>7</v>
      </c>
      <c r="C19" s="4">
        <v>16.5</v>
      </c>
      <c r="D19" s="2">
        <v>-2</v>
      </c>
      <c r="E19" s="2">
        <v>18</v>
      </c>
      <c r="F19" s="4">
        <v>0</v>
      </c>
      <c r="H19" s="4"/>
      <c r="I19" s="4"/>
      <c r="J19" s="4"/>
      <c r="M19" s="5"/>
    </row>
    <row r="20" spans="1:13" x14ac:dyDescent="0.2">
      <c r="A20" s="4" t="s">
        <v>49</v>
      </c>
      <c r="B20" s="4">
        <v>7</v>
      </c>
      <c r="C20" s="4">
        <v>15</v>
      </c>
      <c r="D20" s="2">
        <v>4</v>
      </c>
      <c r="E20" s="2">
        <v>18</v>
      </c>
      <c r="F20" s="4">
        <v>0</v>
      </c>
      <c r="H20" s="4"/>
      <c r="I20" s="4"/>
      <c r="J20" s="4"/>
      <c r="M20" s="5"/>
    </row>
    <row r="21" spans="1:13" ht="15.75" customHeight="1" x14ac:dyDescent="0.2">
      <c r="A21" s="4" t="s">
        <v>50</v>
      </c>
      <c r="B21" s="4">
        <v>7</v>
      </c>
      <c r="C21" s="4">
        <v>20</v>
      </c>
      <c r="D21" s="2">
        <v>-6</v>
      </c>
      <c r="E21" s="2">
        <v>18</v>
      </c>
      <c r="F21" s="4">
        <v>0</v>
      </c>
      <c r="H21" s="4"/>
      <c r="I21" s="4"/>
      <c r="J21" s="4"/>
      <c r="M21" s="5"/>
    </row>
    <row r="22" spans="1:13" ht="15.75" customHeight="1" x14ac:dyDescent="0.2">
      <c r="A22" s="4" t="s">
        <v>51</v>
      </c>
      <c r="B22" s="4">
        <v>7</v>
      </c>
      <c r="C22" s="4">
        <v>14</v>
      </c>
      <c r="D22" s="2">
        <v>0</v>
      </c>
      <c r="E22" s="2">
        <v>24</v>
      </c>
      <c r="F22" s="4">
        <v>0</v>
      </c>
      <c r="H22" s="4"/>
      <c r="I22" s="4"/>
      <c r="J22" s="4"/>
      <c r="M22" s="5"/>
    </row>
    <row r="23" spans="1:13" ht="15.75" customHeight="1" x14ac:dyDescent="0.2">
      <c r="A23" s="4" t="s">
        <v>52</v>
      </c>
      <c r="B23" s="4">
        <v>7</v>
      </c>
      <c r="C23" s="4">
        <v>13</v>
      </c>
      <c r="D23" s="2">
        <v>6</v>
      </c>
      <c r="E23" s="2">
        <v>18</v>
      </c>
      <c r="F23" s="4">
        <v>0</v>
      </c>
      <c r="H23" s="4"/>
      <c r="I23" s="4"/>
      <c r="J23" s="4"/>
      <c r="M23" s="5"/>
    </row>
    <row r="24" spans="1:13" ht="15.75" customHeight="1" x14ac:dyDescent="0.2">
      <c r="A24" s="4" t="s">
        <v>53</v>
      </c>
      <c r="B24" s="4">
        <v>6</v>
      </c>
      <c r="C24" s="4">
        <v>16</v>
      </c>
      <c r="D24" s="2">
        <v>-4</v>
      </c>
      <c r="E24" s="2">
        <v>18</v>
      </c>
      <c r="F24" s="4">
        <v>0</v>
      </c>
      <c r="H24" s="4"/>
      <c r="I24" s="4"/>
      <c r="J24" s="4"/>
      <c r="M24" s="5"/>
    </row>
    <row r="25" spans="1:13" ht="15.75" customHeight="1" x14ac:dyDescent="0.2">
      <c r="A25" s="4" t="s">
        <v>54</v>
      </c>
      <c r="B25" s="4">
        <v>7</v>
      </c>
      <c r="C25" s="4">
        <v>15.5</v>
      </c>
      <c r="D25" s="2">
        <v>-1</v>
      </c>
      <c r="E25" s="2">
        <v>21</v>
      </c>
      <c r="F25" s="4">
        <v>0</v>
      </c>
      <c r="H25" s="4"/>
      <c r="I25" s="4"/>
      <c r="J25" s="4"/>
      <c r="M25" s="5"/>
    </row>
    <row r="26" spans="1:13" ht="15.75" customHeight="1" x14ac:dyDescent="0.2">
      <c r="A26" s="4" t="s">
        <v>55</v>
      </c>
      <c r="B26" s="7">
        <v>1</v>
      </c>
      <c r="C26" s="7">
        <v>16</v>
      </c>
      <c r="D26" s="2">
        <v>0</v>
      </c>
      <c r="E26" s="2">
        <v>0</v>
      </c>
      <c r="F26" s="4">
        <v>1</v>
      </c>
      <c r="H26" s="4"/>
      <c r="I26" s="7"/>
      <c r="J26" s="7"/>
      <c r="M26" s="5"/>
    </row>
    <row r="27" spans="1:13" ht="15.75" customHeight="1" x14ac:dyDescent="0.2">
      <c r="A27" s="4" t="s">
        <v>59</v>
      </c>
      <c r="B27" s="7">
        <v>2</v>
      </c>
      <c r="C27" s="7">
        <v>8</v>
      </c>
      <c r="D27" s="2">
        <v>-4</v>
      </c>
      <c r="E27" s="2">
        <v>3</v>
      </c>
      <c r="F27" s="4">
        <v>1</v>
      </c>
      <c r="H27" s="4"/>
      <c r="I27" s="7"/>
      <c r="J27" s="7"/>
      <c r="M27" s="5"/>
    </row>
    <row r="28" spans="1:13" ht="15.75" customHeight="1" x14ac:dyDescent="0.2">
      <c r="A28" s="4" t="s">
        <v>63</v>
      </c>
      <c r="B28" s="7">
        <v>3</v>
      </c>
      <c r="C28" s="7">
        <v>12</v>
      </c>
      <c r="D28" s="2">
        <v>-2</v>
      </c>
      <c r="E28" s="2">
        <v>6</v>
      </c>
      <c r="F28" s="4">
        <v>1</v>
      </c>
      <c r="H28" s="4"/>
      <c r="I28" s="7"/>
      <c r="J28" s="7"/>
      <c r="M28" s="5"/>
    </row>
    <row r="29" spans="1:13" ht="15.75" customHeight="1" x14ac:dyDescent="0.2">
      <c r="A29" s="4" t="s">
        <v>67</v>
      </c>
      <c r="B29" s="7">
        <v>2.5</v>
      </c>
      <c r="C29" s="7">
        <v>14</v>
      </c>
      <c r="D29" s="2">
        <v>4</v>
      </c>
      <c r="E29" s="2">
        <v>3</v>
      </c>
      <c r="F29" s="4">
        <v>1</v>
      </c>
      <c r="H29" s="4"/>
      <c r="I29" s="7"/>
      <c r="J29" s="7"/>
      <c r="M29" s="5"/>
    </row>
    <row r="30" spans="1:13" ht="15.75" customHeight="1" x14ac:dyDescent="0.2">
      <c r="A30" s="4" t="s">
        <v>71</v>
      </c>
      <c r="B30" s="7">
        <v>4</v>
      </c>
      <c r="C30" s="7">
        <v>12</v>
      </c>
      <c r="D30" s="2">
        <v>-3</v>
      </c>
      <c r="E30" s="2">
        <v>9</v>
      </c>
      <c r="F30" s="4">
        <v>0</v>
      </c>
      <c r="H30" s="4"/>
      <c r="I30" s="7"/>
      <c r="J30" s="7"/>
      <c r="M30" s="5"/>
    </row>
    <row r="31" spans="1:13" ht="15.75" customHeight="1" x14ac:dyDescent="0.2">
      <c r="A31" s="4" t="s">
        <v>72</v>
      </c>
      <c r="B31" s="7">
        <v>1</v>
      </c>
      <c r="C31" s="7">
        <v>24</v>
      </c>
      <c r="D31" s="2">
        <v>2</v>
      </c>
      <c r="E31" s="2">
        <v>0</v>
      </c>
      <c r="F31" s="2">
        <v>1</v>
      </c>
      <c r="H31" s="4"/>
      <c r="I31" s="7"/>
      <c r="J31" s="7"/>
      <c r="M31" s="5"/>
    </row>
    <row r="32" spans="1:13" ht="15.75" customHeight="1" x14ac:dyDescent="0.2">
      <c r="A32" s="4" t="s">
        <v>75</v>
      </c>
      <c r="B32" s="7">
        <v>2</v>
      </c>
      <c r="C32" s="7">
        <v>20</v>
      </c>
      <c r="D32" s="2">
        <v>-2</v>
      </c>
      <c r="E32" s="2">
        <v>3</v>
      </c>
      <c r="F32" s="4">
        <v>0</v>
      </c>
      <c r="H32" s="4"/>
      <c r="I32" s="7"/>
      <c r="J32" s="7"/>
      <c r="M32" s="5"/>
    </row>
    <row r="33" spans="1:6" ht="15.75" customHeight="1" x14ac:dyDescent="0.2">
      <c r="A33" s="4"/>
      <c r="B33" s="4"/>
      <c r="C33" s="4"/>
      <c r="D33" s="10"/>
      <c r="E33" s="10"/>
      <c r="F33" s="4"/>
    </row>
    <row r="34" spans="1:6" ht="15.75" customHeight="1" x14ac:dyDescent="0.2">
      <c r="A34" s="4"/>
      <c r="B34" s="4"/>
      <c r="C34" s="4"/>
      <c r="D34" s="10"/>
      <c r="E34" s="10"/>
      <c r="F34" s="4"/>
    </row>
    <row r="35" spans="1:6" ht="15.75" customHeight="1" x14ac:dyDescent="0.2">
      <c r="A35" s="4"/>
      <c r="B35" s="4"/>
      <c r="C35" s="4"/>
      <c r="D35" s="10"/>
      <c r="E35" s="10"/>
      <c r="F35" s="4"/>
    </row>
    <row r="36" spans="1:6" ht="15.75" customHeight="1" x14ac:dyDescent="0.2">
      <c r="A36" s="4"/>
      <c r="B36" s="4"/>
      <c r="C36" s="4"/>
      <c r="D36" s="10"/>
      <c r="E36" s="10"/>
      <c r="F36" s="4"/>
    </row>
    <row r="37" spans="1:6" ht="15.75" customHeight="1" x14ac:dyDescent="0.2">
      <c r="A37" s="4"/>
      <c r="B37" s="4"/>
      <c r="C37" s="4"/>
      <c r="D37" s="10"/>
      <c r="E37" s="10"/>
      <c r="F37" s="4"/>
    </row>
    <row r="38" spans="1:6" ht="15.75" customHeight="1" x14ac:dyDescent="0.2">
      <c r="A38" s="4"/>
      <c r="B38" s="4"/>
      <c r="C38" s="4"/>
      <c r="D38" s="10"/>
      <c r="E38" s="10"/>
      <c r="F38" s="4"/>
    </row>
    <row r="39" spans="1:6" ht="15.75" customHeight="1" x14ac:dyDescent="0.2">
      <c r="A39" s="4"/>
      <c r="B39" s="7"/>
      <c r="C39" s="7"/>
      <c r="D39" s="10"/>
      <c r="E39" s="10"/>
      <c r="F39" s="4"/>
    </row>
    <row r="40" spans="1:6" ht="15.75" customHeight="1" x14ac:dyDescent="0.2">
      <c r="A40" s="4"/>
      <c r="B40" s="7"/>
      <c r="C40" s="7"/>
      <c r="D40" s="10"/>
      <c r="E40" s="10"/>
      <c r="F40" s="4"/>
    </row>
    <row r="41" spans="1:6" ht="15.75" customHeight="1" x14ac:dyDescent="0.2">
      <c r="A41" s="4"/>
      <c r="B41" s="4"/>
      <c r="C41" s="4"/>
      <c r="D41" s="10"/>
      <c r="E41" s="10"/>
      <c r="F41" s="4"/>
    </row>
    <row r="42" spans="1:6" ht="15.75" customHeight="1" x14ac:dyDescent="0.2">
      <c r="A42" s="4"/>
      <c r="B42" s="4"/>
      <c r="C42" s="4"/>
      <c r="D42" s="10"/>
      <c r="E42" s="10"/>
      <c r="F42" s="4"/>
    </row>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0"/>
  <sheetViews>
    <sheetView workbookViewId="0"/>
  </sheetViews>
  <sheetFormatPr baseColWidth="10" defaultColWidth="14.5" defaultRowHeight="15" customHeight="1" x14ac:dyDescent="0.2"/>
  <cols>
    <col min="1" max="1" width="10.6640625" customWidth="1"/>
    <col min="2" max="2" width="13.83203125" customWidth="1"/>
    <col min="3" max="3" width="15" customWidth="1"/>
    <col min="4" max="7" width="10.6640625" customWidth="1"/>
    <col min="8" max="8" width="16.83203125" customWidth="1"/>
    <col min="9" max="9" width="21" customWidth="1"/>
  </cols>
  <sheetData>
    <row r="1" spans="1:9" x14ac:dyDescent="0.2">
      <c r="A1" s="5" t="s">
        <v>78</v>
      </c>
      <c r="B1" s="5" t="s">
        <v>0</v>
      </c>
      <c r="C1" s="9" t="s">
        <v>99</v>
      </c>
      <c r="D1" s="8" t="s">
        <v>126</v>
      </c>
      <c r="E1" s="8" t="s">
        <v>127</v>
      </c>
      <c r="F1" s="8" t="s">
        <v>128</v>
      </c>
      <c r="G1" s="8" t="s">
        <v>129</v>
      </c>
      <c r="H1" s="8" t="s">
        <v>130</v>
      </c>
      <c r="I1" s="8" t="s">
        <v>131</v>
      </c>
    </row>
    <row r="2" spans="1:9" x14ac:dyDescent="0.2">
      <c r="A2" s="2">
        <v>1</v>
      </c>
      <c r="B2" s="2" t="s">
        <v>6</v>
      </c>
      <c r="C2" s="2" t="s">
        <v>55</v>
      </c>
      <c r="D2" s="8">
        <f>VLOOKUP(B2,courses_program1!A:E,4,0)</f>
        <v>0</v>
      </c>
      <c r="E2" s="8">
        <f>VLOOKUP(B2,courses_program1!A:E,5,0)</f>
        <v>3</v>
      </c>
      <c r="F2" s="8">
        <f>VLOOKUP(C2,courses_program1!A:E,4,0)</f>
        <v>2</v>
      </c>
      <c r="G2" s="8">
        <f>VLOOKUP(C2,courses_program1!A:E,5,0)</f>
        <v>12</v>
      </c>
      <c r="H2" s="2">
        <v>1</v>
      </c>
      <c r="I2" s="2" t="e">
        <f t="shared" ref="I2:I55" ca="1" si="0">_xludf.CONCAT(B2, C2)</f>
        <v>#NAME?</v>
      </c>
    </row>
    <row r="3" spans="1:9" x14ac:dyDescent="0.2">
      <c r="A3" s="2">
        <v>2</v>
      </c>
      <c r="B3" s="2" t="s">
        <v>12</v>
      </c>
      <c r="C3" s="2" t="s">
        <v>72</v>
      </c>
      <c r="D3" s="8">
        <f>VLOOKUP(B3,courses_program1!A:E,4,0)</f>
        <v>2</v>
      </c>
      <c r="E3" s="8">
        <f>VLOOKUP(B3,courses_program1!A:E,5,0)</f>
        <v>3</v>
      </c>
      <c r="F3" s="8">
        <f>VLOOKUP(C3,courses_program1!A:E,4,0)</f>
        <v>0</v>
      </c>
      <c r="G3" s="8">
        <f>VLOOKUP(C3,courses_program1!A:E,5,0)</f>
        <v>18</v>
      </c>
      <c r="H3" s="2">
        <v>1</v>
      </c>
      <c r="I3" s="2" t="e">
        <f t="shared" ca="1" si="0"/>
        <v>#NAME?</v>
      </c>
    </row>
    <row r="4" spans="1:9" x14ac:dyDescent="0.2">
      <c r="A4" s="2">
        <v>4</v>
      </c>
      <c r="B4" s="2" t="s">
        <v>17</v>
      </c>
      <c r="C4" s="2" t="s">
        <v>59</v>
      </c>
      <c r="D4" s="8">
        <f>VLOOKUP(B4,courses_program1!A:E,4,0)</f>
        <v>-2</v>
      </c>
      <c r="E4" s="8">
        <f>VLOOKUP(B4,courses_program1!A:E,5,0)</f>
        <v>0</v>
      </c>
      <c r="F4" s="8">
        <f>VLOOKUP(C4,courses_program1!A:E,4,0)</f>
        <v>2</v>
      </c>
      <c r="G4" s="8">
        <f>VLOOKUP(C4,courses_program1!A:E,5,0)</f>
        <v>15</v>
      </c>
      <c r="H4" s="2">
        <v>1</v>
      </c>
      <c r="I4" s="2" t="e">
        <f t="shared" ca="1" si="0"/>
        <v>#NAME?</v>
      </c>
    </row>
    <row r="5" spans="1:9" x14ac:dyDescent="0.2">
      <c r="A5" s="2">
        <v>5</v>
      </c>
      <c r="B5" s="2" t="s">
        <v>21</v>
      </c>
      <c r="C5" s="2" t="s">
        <v>6</v>
      </c>
      <c r="D5" s="8">
        <f>VLOOKUP(B5,courses_program1!A:E,4,0)</f>
        <v>2</v>
      </c>
      <c r="E5" s="8">
        <f>VLOOKUP(B5,courses_program1!A:E,5,0)</f>
        <v>6</v>
      </c>
      <c r="F5" s="8">
        <f>VLOOKUP(C5,courses_program1!A:E,4,0)</f>
        <v>0</v>
      </c>
      <c r="G5" s="8">
        <f>VLOOKUP(C5,courses_program1!A:E,5,0)</f>
        <v>3</v>
      </c>
      <c r="H5" s="2">
        <v>1</v>
      </c>
      <c r="I5" s="2" t="e">
        <f t="shared" ca="1" si="0"/>
        <v>#NAME?</v>
      </c>
    </row>
    <row r="6" spans="1:9" x14ac:dyDescent="0.2">
      <c r="A6" s="2">
        <v>5</v>
      </c>
      <c r="B6" s="2" t="s">
        <v>21</v>
      </c>
      <c r="C6" s="2" t="s">
        <v>16</v>
      </c>
      <c r="D6" s="8">
        <f>VLOOKUP(B6,courses_program1!A:E,4,0)</f>
        <v>2</v>
      </c>
      <c r="E6" s="8">
        <f>VLOOKUP(B6,courses_program1!A:E,5,0)</f>
        <v>6</v>
      </c>
      <c r="F6" s="8" t="e">
        <f>VLOOKUP(C6,courses_program1!A:E,4,0)</f>
        <v>#N/A</v>
      </c>
      <c r="G6" s="8" t="e">
        <f>VLOOKUP(C6,courses_program1!A:E,5,0)</f>
        <v>#N/A</v>
      </c>
      <c r="H6" s="2">
        <v>0</v>
      </c>
      <c r="I6" s="2" t="e">
        <f t="shared" ca="1" si="0"/>
        <v>#NAME?</v>
      </c>
    </row>
    <row r="7" spans="1:9" x14ac:dyDescent="0.2">
      <c r="A7" s="2">
        <v>5</v>
      </c>
      <c r="B7" s="2" t="s">
        <v>21</v>
      </c>
      <c r="C7" s="2" t="s">
        <v>17</v>
      </c>
      <c r="D7" s="8">
        <f>VLOOKUP(B7,courses_program1!A:E,4,0)</f>
        <v>2</v>
      </c>
      <c r="E7" s="8">
        <f>VLOOKUP(B7,courses_program1!A:E,5,0)</f>
        <v>6</v>
      </c>
      <c r="F7" s="8">
        <f>VLOOKUP(C7,courses_program1!A:E,4,0)</f>
        <v>-2</v>
      </c>
      <c r="G7" s="8">
        <f>VLOOKUP(C7,courses_program1!A:E,5,0)</f>
        <v>0</v>
      </c>
      <c r="H7" s="2">
        <v>0</v>
      </c>
      <c r="I7" s="2" t="e">
        <f t="shared" ca="1" si="0"/>
        <v>#NAME?</v>
      </c>
    </row>
    <row r="8" spans="1:9" x14ac:dyDescent="0.2">
      <c r="A8" s="2">
        <v>6</v>
      </c>
      <c r="B8" s="2" t="s">
        <v>25</v>
      </c>
      <c r="C8" s="2" t="s">
        <v>12</v>
      </c>
      <c r="D8" s="8">
        <f>VLOOKUP(B8,courses_program1!A:E,4,0)</f>
        <v>1</v>
      </c>
      <c r="E8" s="8">
        <f>VLOOKUP(B8,courses_program1!A:E,5,0)</f>
        <v>9</v>
      </c>
      <c r="F8" s="8">
        <f>VLOOKUP(C8,courses_program1!A:E,4,0)</f>
        <v>2</v>
      </c>
      <c r="G8" s="8">
        <f>VLOOKUP(C8,courses_program1!A:E,5,0)</f>
        <v>3</v>
      </c>
      <c r="H8" s="2">
        <v>1</v>
      </c>
      <c r="I8" s="2" t="e">
        <f t="shared" ca="1" si="0"/>
        <v>#NAME?</v>
      </c>
    </row>
    <row r="9" spans="1:9" x14ac:dyDescent="0.2">
      <c r="A9" s="2">
        <v>7</v>
      </c>
      <c r="B9" s="2" t="s">
        <v>25</v>
      </c>
      <c r="C9" s="2" t="s">
        <v>55</v>
      </c>
      <c r="D9" s="8">
        <f>VLOOKUP(B9,courses_program1!A:E,4,0)</f>
        <v>1</v>
      </c>
      <c r="E9" s="8">
        <f>VLOOKUP(B9,courses_program1!A:E,5,0)</f>
        <v>9</v>
      </c>
      <c r="F9" s="8">
        <f>VLOOKUP(C9,courses_program1!A:E,4,0)</f>
        <v>2</v>
      </c>
      <c r="G9" s="8">
        <f>VLOOKUP(C9,courses_program1!A:E,5,0)</f>
        <v>12</v>
      </c>
      <c r="H9" s="2">
        <v>1</v>
      </c>
      <c r="I9" s="2" t="e">
        <f t="shared" ca="1" si="0"/>
        <v>#NAME?</v>
      </c>
    </row>
    <row r="10" spans="1:9" x14ac:dyDescent="0.2">
      <c r="A10" s="2">
        <v>8</v>
      </c>
      <c r="B10" s="2" t="s">
        <v>28</v>
      </c>
      <c r="C10" s="2" t="s">
        <v>63</v>
      </c>
      <c r="D10" s="8">
        <f>VLOOKUP(B10,courses_program1!A:E,4,0)</f>
        <v>0</v>
      </c>
      <c r="E10" s="8">
        <f>VLOOKUP(B10,courses_program1!A:E,5,0)</f>
        <v>6</v>
      </c>
      <c r="F10" s="8">
        <f>VLOOKUP(C10,courses_program1!A:E,4,0)</f>
        <v>0</v>
      </c>
      <c r="G10" s="8">
        <f>VLOOKUP(C10,courses_program1!A:E,5,0)</f>
        <v>15</v>
      </c>
      <c r="H10" s="2">
        <v>1</v>
      </c>
      <c r="I10" s="2" t="e">
        <f t="shared" ca="1" si="0"/>
        <v>#NAME?</v>
      </c>
    </row>
    <row r="11" spans="1:9" x14ac:dyDescent="0.2">
      <c r="A11" s="2">
        <v>9</v>
      </c>
      <c r="B11" s="2" t="s">
        <v>33</v>
      </c>
      <c r="C11" s="2" t="s">
        <v>6</v>
      </c>
      <c r="D11" s="8" t="e">
        <f>VLOOKUP(B11,courses_program1!A:E,4,0)</f>
        <v>#N/A</v>
      </c>
      <c r="E11" s="8" t="e">
        <f>VLOOKUP(B11,courses_program1!A:E,5,0)</f>
        <v>#N/A</v>
      </c>
      <c r="F11" s="8">
        <f>VLOOKUP(C11,courses_program1!A:E,4,0)</f>
        <v>0</v>
      </c>
      <c r="G11" s="8">
        <f>VLOOKUP(C11,courses_program1!A:E,5,0)</f>
        <v>3</v>
      </c>
      <c r="H11" s="2">
        <v>1</v>
      </c>
      <c r="I11" s="2" t="e">
        <f t="shared" ca="1" si="0"/>
        <v>#NAME?</v>
      </c>
    </row>
    <row r="12" spans="1:9" x14ac:dyDescent="0.2">
      <c r="A12" s="2">
        <v>9</v>
      </c>
      <c r="B12" s="2" t="s">
        <v>33</v>
      </c>
      <c r="C12" s="2" t="s">
        <v>16</v>
      </c>
      <c r="D12" s="8" t="e">
        <f>VLOOKUP(B12,courses_program1!A:E,4,0)</f>
        <v>#N/A</v>
      </c>
      <c r="E12" s="8" t="e">
        <f>VLOOKUP(B12,courses_program1!A:E,5,0)</f>
        <v>#N/A</v>
      </c>
      <c r="F12" s="8" t="e">
        <f>VLOOKUP(C12,courses_program1!A:E,4,0)</f>
        <v>#N/A</v>
      </c>
      <c r="G12" s="8" t="e">
        <f>VLOOKUP(C12,courses_program1!A:E,5,0)</f>
        <v>#N/A</v>
      </c>
      <c r="H12" s="2">
        <v>0</v>
      </c>
      <c r="I12" s="2" t="e">
        <f t="shared" ca="1" si="0"/>
        <v>#NAME?</v>
      </c>
    </row>
    <row r="13" spans="1:9" x14ac:dyDescent="0.2">
      <c r="A13" s="2">
        <v>9</v>
      </c>
      <c r="B13" s="2" t="s">
        <v>33</v>
      </c>
      <c r="C13" s="2" t="s">
        <v>17</v>
      </c>
      <c r="D13" s="8" t="e">
        <f>VLOOKUP(B13,courses_program1!A:E,4,0)</f>
        <v>#N/A</v>
      </c>
      <c r="E13" s="8" t="e">
        <f>VLOOKUP(B13,courses_program1!A:E,5,0)</f>
        <v>#N/A</v>
      </c>
      <c r="F13" s="8">
        <f>VLOOKUP(C13,courses_program1!A:E,4,0)</f>
        <v>-2</v>
      </c>
      <c r="G13" s="8">
        <f>VLOOKUP(C13,courses_program1!A:E,5,0)</f>
        <v>0</v>
      </c>
      <c r="H13" s="2">
        <v>0</v>
      </c>
      <c r="I13" s="2" t="e">
        <f t="shared" ca="1" si="0"/>
        <v>#NAME?</v>
      </c>
    </row>
    <row r="14" spans="1:9" x14ac:dyDescent="0.2">
      <c r="A14" s="2">
        <v>9</v>
      </c>
      <c r="B14" s="2" t="s">
        <v>33</v>
      </c>
      <c r="C14" s="2" t="s">
        <v>28</v>
      </c>
      <c r="D14" s="8" t="e">
        <f>VLOOKUP(B14,courses_program1!A:E,4,0)</f>
        <v>#N/A</v>
      </c>
      <c r="E14" s="8" t="e">
        <f>VLOOKUP(B14,courses_program1!A:E,5,0)</f>
        <v>#N/A</v>
      </c>
      <c r="F14" s="8">
        <f>VLOOKUP(C14,courses_program1!A:E,4,0)</f>
        <v>0</v>
      </c>
      <c r="G14" s="8">
        <f>VLOOKUP(C14,courses_program1!A:E,5,0)</f>
        <v>6</v>
      </c>
      <c r="H14" s="2">
        <v>1</v>
      </c>
      <c r="I14" s="2" t="e">
        <f t="shared" ca="1" si="0"/>
        <v>#NAME?</v>
      </c>
    </row>
    <row r="15" spans="1:9" x14ac:dyDescent="0.2">
      <c r="A15" s="2">
        <v>9</v>
      </c>
      <c r="B15" s="2" t="s">
        <v>33</v>
      </c>
      <c r="C15" s="2" t="s">
        <v>12</v>
      </c>
      <c r="D15" s="8" t="e">
        <f>VLOOKUP(B15,courses_program1!A:E,4,0)</f>
        <v>#N/A</v>
      </c>
      <c r="E15" s="8" t="e">
        <f>VLOOKUP(B15,courses_program1!A:E,5,0)</f>
        <v>#N/A</v>
      </c>
      <c r="F15" s="8">
        <f>VLOOKUP(C15,courses_program1!A:E,4,0)</f>
        <v>2</v>
      </c>
      <c r="G15" s="8">
        <f>VLOOKUP(C15,courses_program1!A:E,5,0)</f>
        <v>3</v>
      </c>
      <c r="H15" s="2">
        <v>1</v>
      </c>
      <c r="I15" s="2" t="e">
        <f t="shared" ca="1" si="0"/>
        <v>#NAME?</v>
      </c>
    </row>
    <row r="16" spans="1:9" x14ac:dyDescent="0.2">
      <c r="A16" s="2">
        <v>9</v>
      </c>
      <c r="B16" s="2" t="s">
        <v>33</v>
      </c>
      <c r="C16" s="2" t="s">
        <v>75</v>
      </c>
      <c r="D16" s="8" t="e">
        <f>VLOOKUP(B16,courses_program1!A:E,4,0)</f>
        <v>#N/A</v>
      </c>
      <c r="E16" s="8" t="e">
        <f>VLOOKUP(B16,courses_program1!A:E,5,0)</f>
        <v>#N/A</v>
      </c>
      <c r="F16" s="8">
        <f>VLOOKUP(C16,courses_program1!A:E,4,0)</f>
        <v>1</v>
      </c>
      <c r="G16" s="8">
        <f>VLOOKUP(C16,courses_program1!A:E,5,0)</f>
        <v>21</v>
      </c>
      <c r="H16" s="2">
        <v>1</v>
      </c>
      <c r="I16" s="2" t="e">
        <f t="shared" ca="1" si="0"/>
        <v>#NAME?</v>
      </c>
    </row>
    <row r="17" spans="1:9" x14ac:dyDescent="0.2">
      <c r="A17" s="2">
        <v>10</v>
      </c>
      <c r="B17" s="2" t="s">
        <v>34</v>
      </c>
      <c r="C17" s="2" t="s">
        <v>67</v>
      </c>
      <c r="D17" s="8">
        <f>VLOOKUP(B17,courses_program1!A:E,4,0)</f>
        <v>-1</v>
      </c>
      <c r="E17" s="8">
        <f>VLOOKUP(B17,courses_program1!A:E,5,0)</f>
        <v>9</v>
      </c>
      <c r="F17" s="8">
        <f>VLOOKUP(C17,courses_program1!A:E,4,0)</f>
        <v>0</v>
      </c>
      <c r="G17" s="8">
        <f>VLOOKUP(C17,courses_program1!A:E,5,0)</f>
        <v>12</v>
      </c>
      <c r="H17" s="2">
        <v>1</v>
      </c>
      <c r="I17" s="2" t="e">
        <f t="shared" ca="1" si="0"/>
        <v>#NAME?</v>
      </c>
    </row>
    <row r="18" spans="1:9" x14ac:dyDescent="0.2">
      <c r="A18" s="2">
        <v>11</v>
      </c>
      <c r="B18" s="2" t="s">
        <v>34</v>
      </c>
      <c r="C18" s="2" t="s">
        <v>6</v>
      </c>
      <c r="D18" s="8">
        <f>VLOOKUP(B18,courses_program1!A:E,4,0)</f>
        <v>-1</v>
      </c>
      <c r="E18" s="8">
        <f>VLOOKUP(B18,courses_program1!A:E,5,0)</f>
        <v>9</v>
      </c>
      <c r="F18" s="8">
        <f>VLOOKUP(C18,courses_program1!A:E,4,0)</f>
        <v>0</v>
      </c>
      <c r="G18" s="8">
        <f>VLOOKUP(C18,courses_program1!A:E,5,0)</f>
        <v>3</v>
      </c>
      <c r="H18" s="2">
        <v>1</v>
      </c>
      <c r="I18" s="2" t="e">
        <f t="shared" ca="1" si="0"/>
        <v>#NAME?</v>
      </c>
    </row>
    <row r="19" spans="1:9" x14ac:dyDescent="0.2">
      <c r="A19" s="2">
        <v>11</v>
      </c>
      <c r="B19" s="2" t="s">
        <v>34</v>
      </c>
      <c r="C19" s="2" t="s">
        <v>17</v>
      </c>
      <c r="D19" s="8">
        <f>VLOOKUP(B19,courses_program1!A:E,4,0)</f>
        <v>-1</v>
      </c>
      <c r="E19" s="8">
        <f>VLOOKUP(B19,courses_program1!A:E,5,0)</f>
        <v>9</v>
      </c>
      <c r="F19" s="8">
        <f>VLOOKUP(C19,courses_program1!A:E,4,0)</f>
        <v>-2</v>
      </c>
      <c r="G19" s="8">
        <f>VLOOKUP(C19,courses_program1!A:E,5,0)</f>
        <v>0</v>
      </c>
      <c r="H19" s="2">
        <v>0</v>
      </c>
      <c r="I19" s="2" t="e">
        <f t="shared" ca="1" si="0"/>
        <v>#NAME?</v>
      </c>
    </row>
    <row r="20" spans="1:9" x14ac:dyDescent="0.2">
      <c r="A20" s="2">
        <v>11</v>
      </c>
      <c r="B20" s="2" t="s">
        <v>34</v>
      </c>
      <c r="C20" s="2" t="s">
        <v>21</v>
      </c>
      <c r="D20" s="8">
        <f>VLOOKUP(B20,courses_program1!A:E,4,0)</f>
        <v>-1</v>
      </c>
      <c r="E20" s="8">
        <f>VLOOKUP(B20,courses_program1!A:E,5,0)</f>
        <v>9</v>
      </c>
      <c r="F20" s="8">
        <f>VLOOKUP(C20,courses_program1!A:E,4,0)</f>
        <v>2</v>
      </c>
      <c r="G20" s="8">
        <f>VLOOKUP(C20,courses_program1!A:E,5,0)</f>
        <v>6</v>
      </c>
      <c r="H20" s="2">
        <v>0</v>
      </c>
      <c r="I20" s="2" t="e">
        <f t="shared" ca="1" si="0"/>
        <v>#NAME?</v>
      </c>
    </row>
    <row r="21" spans="1:9" ht="15.75" customHeight="1" x14ac:dyDescent="0.2">
      <c r="A21" s="2">
        <v>12</v>
      </c>
      <c r="B21" s="2" t="s">
        <v>34</v>
      </c>
      <c r="C21" s="2" t="s">
        <v>28</v>
      </c>
      <c r="D21" s="8">
        <f>VLOOKUP(B21,courses_program1!A:E,4,0)</f>
        <v>-1</v>
      </c>
      <c r="E21" s="8">
        <f>VLOOKUP(B21,courses_program1!A:E,5,0)</f>
        <v>9</v>
      </c>
      <c r="F21" s="8">
        <f>VLOOKUP(C21,courses_program1!A:E,4,0)</f>
        <v>0</v>
      </c>
      <c r="G21" s="8">
        <f>VLOOKUP(C21,courses_program1!A:E,5,0)</f>
        <v>6</v>
      </c>
      <c r="H21" s="2">
        <v>1</v>
      </c>
      <c r="I21" s="2" t="e">
        <f t="shared" ca="1" si="0"/>
        <v>#NAME?</v>
      </c>
    </row>
    <row r="22" spans="1:9" ht="15.75" customHeight="1" x14ac:dyDescent="0.2">
      <c r="A22" s="2">
        <v>13</v>
      </c>
      <c r="B22" s="2" t="s">
        <v>38</v>
      </c>
      <c r="C22" s="2" t="s">
        <v>34</v>
      </c>
      <c r="D22" s="8" t="e">
        <f>VLOOKUP(B22,courses_program1!A:E,4,0)</f>
        <v>#N/A</v>
      </c>
      <c r="E22" s="8" t="e">
        <f>VLOOKUP(B22,courses_program1!A:E,5,0)</f>
        <v>#N/A</v>
      </c>
      <c r="F22" s="8">
        <f>VLOOKUP(C22,courses_program1!A:E,4,0)</f>
        <v>-1</v>
      </c>
      <c r="G22" s="8">
        <f>VLOOKUP(C22,courses_program1!A:E,5,0)</f>
        <v>9</v>
      </c>
      <c r="H22" s="2">
        <v>1</v>
      </c>
      <c r="I22" s="2" t="e">
        <f t="shared" ca="1" si="0"/>
        <v>#NAME?</v>
      </c>
    </row>
    <row r="23" spans="1:9" ht="15.75" customHeight="1" x14ac:dyDescent="0.2">
      <c r="A23" s="2">
        <v>14</v>
      </c>
      <c r="B23" s="2" t="s">
        <v>40</v>
      </c>
      <c r="C23" s="2" t="s">
        <v>33</v>
      </c>
      <c r="D23" s="8" t="e">
        <f>VLOOKUP(B23,courses_program1!A:E,4,0)</f>
        <v>#N/A</v>
      </c>
      <c r="E23" s="8" t="e">
        <f>VLOOKUP(B23,courses_program1!A:E,5,0)</f>
        <v>#N/A</v>
      </c>
      <c r="F23" s="8" t="e">
        <f>VLOOKUP(C23,courses_program1!A:E,4,0)</f>
        <v>#N/A</v>
      </c>
      <c r="G23" s="8" t="e">
        <f>VLOOKUP(C23,courses_program1!A:E,5,0)</f>
        <v>#N/A</v>
      </c>
      <c r="H23" s="2">
        <v>1</v>
      </c>
      <c r="I23" s="2" t="e">
        <f t="shared" ca="1" si="0"/>
        <v>#NAME?</v>
      </c>
    </row>
    <row r="24" spans="1:9" ht="15.75" customHeight="1" x14ac:dyDescent="0.2">
      <c r="A24" s="2">
        <v>15</v>
      </c>
      <c r="B24" s="2" t="s">
        <v>41</v>
      </c>
      <c r="C24" s="2" t="s">
        <v>6</v>
      </c>
      <c r="D24" s="8" t="e">
        <f>VLOOKUP(B24,courses_program1!A:E,4,0)</f>
        <v>#N/A</v>
      </c>
      <c r="E24" s="8" t="e">
        <f>VLOOKUP(B24,courses_program1!A:E,5,0)</f>
        <v>#N/A</v>
      </c>
      <c r="F24" s="8">
        <f>VLOOKUP(C24,courses_program1!A:E,4,0)</f>
        <v>0</v>
      </c>
      <c r="G24" s="8">
        <f>VLOOKUP(C24,courses_program1!A:E,5,0)</f>
        <v>3</v>
      </c>
      <c r="H24" s="2">
        <v>1</v>
      </c>
      <c r="I24" s="2" t="e">
        <f t="shared" ca="1" si="0"/>
        <v>#NAME?</v>
      </c>
    </row>
    <row r="25" spans="1:9" ht="15.75" customHeight="1" x14ac:dyDescent="0.2">
      <c r="A25" s="2">
        <v>15</v>
      </c>
      <c r="B25" s="2" t="s">
        <v>41</v>
      </c>
      <c r="C25" s="2" t="s">
        <v>17</v>
      </c>
      <c r="D25" s="8" t="e">
        <f>VLOOKUP(B25,courses_program1!A:E,4,0)</f>
        <v>#N/A</v>
      </c>
      <c r="E25" s="8" t="e">
        <f>VLOOKUP(B25,courses_program1!A:E,5,0)</f>
        <v>#N/A</v>
      </c>
      <c r="F25" s="8">
        <f>VLOOKUP(C25,courses_program1!A:E,4,0)</f>
        <v>-2</v>
      </c>
      <c r="G25" s="8">
        <f>VLOOKUP(C25,courses_program1!A:E,5,0)</f>
        <v>0</v>
      </c>
      <c r="H25" s="2">
        <v>0</v>
      </c>
      <c r="I25" s="2" t="e">
        <f t="shared" ca="1" si="0"/>
        <v>#NAME?</v>
      </c>
    </row>
    <row r="26" spans="1:9" ht="15.75" customHeight="1" x14ac:dyDescent="0.2">
      <c r="A26" s="2">
        <v>16</v>
      </c>
      <c r="B26" s="2" t="s">
        <v>42</v>
      </c>
      <c r="C26" s="2" t="s">
        <v>6</v>
      </c>
      <c r="D26" s="8" t="e">
        <f>VLOOKUP(B26,courses_program1!A:E,4,0)</f>
        <v>#N/A</v>
      </c>
      <c r="E26" s="8" t="e">
        <f>VLOOKUP(B26,courses_program1!A:E,5,0)</f>
        <v>#N/A</v>
      </c>
      <c r="F26" s="8">
        <f>VLOOKUP(C26,courses_program1!A:E,4,0)</f>
        <v>0</v>
      </c>
      <c r="G26" s="8">
        <f>VLOOKUP(C26,courses_program1!A:E,5,0)</f>
        <v>3</v>
      </c>
      <c r="H26" s="2">
        <v>1</v>
      </c>
      <c r="I26" s="2" t="e">
        <f t="shared" ca="1" si="0"/>
        <v>#NAME?</v>
      </c>
    </row>
    <row r="27" spans="1:9" ht="15.75" customHeight="1" x14ac:dyDescent="0.2">
      <c r="A27" s="2">
        <v>16</v>
      </c>
      <c r="B27" s="2" t="s">
        <v>42</v>
      </c>
      <c r="C27" s="2" t="s">
        <v>17</v>
      </c>
      <c r="D27" s="8" t="e">
        <f>VLOOKUP(B27,courses_program1!A:E,4,0)</f>
        <v>#N/A</v>
      </c>
      <c r="E27" s="8" t="e">
        <f>VLOOKUP(B27,courses_program1!A:E,5,0)</f>
        <v>#N/A</v>
      </c>
      <c r="F27" s="8">
        <f>VLOOKUP(C27,courses_program1!A:E,4,0)</f>
        <v>-2</v>
      </c>
      <c r="G27" s="8">
        <f>VLOOKUP(C27,courses_program1!A:E,5,0)</f>
        <v>0</v>
      </c>
      <c r="H27" s="2">
        <v>0</v>
      </c>
      <c r="I27" s="2" t="e">
        <f t="shared" ca="1" si="0"/>
        <v>#NAME?</v>
      </c>
    </row>
    <row r="28" spans="1:9" ht="15.75" customHeight="1" x14ac:dyDescent="0.2">
      <c r="A28" s="2">
        <v>17</v>
      </c>
      <c r="B28" s="2" t="s">
        <v>42</v>
      </c>
      <c r="C28" s="2" t="s">
        <v>28</v>
      </c>
      <c r="D28" s="8" t="e">
        <f>VLOOKUP(B28,courses_program1!A:E,4,0)</f>
        <v>#N/A</v>
      </c>
      <c r="E28" s="8" t="e">
        <f>VLOOKUP(B28,courses_program1!A:E,5,0)</f>
        <v>#N/A</v>
      </c>
      <c r="F28" s="8">
        <f>VLOOKUP(C28,courses_program1!A:E,4,0)</f>
        <v>0</v>
      </c>
      <c r="G28" s="8">
        <f>VLOOKUP(C28,courses_program1!A:E,5,0)</f>
        <v>6</v>
      </c>
      <c r="H28" s="2">
        <v>1</v>
      </c>
      <c r="I28" s="2" t="e">
        <f t="shared" ca="1" si="0"/>
        <v>#NAME?</v>
      </c>
    </row>
    <row r="29" spans="1:9" ht="15.75" customHeight="1" x14ac:dyDescent="0.2">
      <c r="A29" s="2">
        <v>18</v>
      </c>
      <c r="B29" s="2" t="s">
        <v>43</v>
      </c>
      <c r="C29" s="2" t="s">
        <v>33</v>
      </c>
      <c r="D29" s="8" t="e">
        <f>VLOOKUP(B29,courses_program1!A:E,4,0)</f>
        <v>#N/A</v>
      </c>
      <c r="E29" s="8" t="e">
        <f>VLOOKUP(B29,courses_program1!A:E,5,0)</f>
        <v>#N/A</v>
      </c>
      <c r="F29" s="8" t="e">
        <f>VLOOKUP(C29,courses_program1!A:E,4,0)</f>
        <v>#N/A</v>
      </c>
      <c r="G29" s="8" t="e">
        <f>VLOOKUP(C29,courses_program1!A:E,5,0)</f>
        <v>#N/A</v>
      </c>
      <c r="H29" s="2">
        <v>1</v>
      </c>
      <c r="I29" s="2" t="e">
        <f t="shared" ca="1" si="0"/>
        <v>#NAME?</v>
      </c>
    </row>
    <row r="30" spans="1:9" ht="15.75" customHeight="1" x14ac:dyDescent="0.2">
      <c r="A30" s="2">
        <v>19</v>
      </c>
      <c r="B30" s="2" t="s">
        <v>43</v>
      </c>
      <c r="C30" s="2" t="s">
        <v>67</v>
      </c>
      <c r="D30" s="8" t="e">
        <f>VLOOKUP(B30,courses_program1!A:E,4,0)</f>
        <v>#N/A</v>
      </c>
      <c r="E30" s="8" t="e">
        <f>VLOOKUP(B30,courses_program1!A:E,5,0)</f>
        <v>#N/A</v>
      </c>
      <c r="F30" s="8">
        <f>VLOOKUP(C30,courses_program1!A:E,4,0)</f>
        <v>0</v>
      </c>
      <c r="G30" s="8">
        <f>VLOOKUP(C30,courses_program1!A:E,5,0)</f>
        <v>12</v>
      </c>
      <c r="H30" s="2">
        <v>1</v>
      </c>
      <c r="I30" s="2" t="e">
        <f t="shared" ca="1" si="0"/>
        <v>#NAME?</v>
      </c>
    </row>
    <row r="31" spans="1:9" ht="15.75" customHeight="1" x14ac:dyDescent="0.2">
      <c r="A31" s="2">
        <v>20</v>
      </c>
      <c r="B31" s="2" t="s">
        <v>43</v>
      </c>
      <c r="C31" s="2" t="s">
        <v>34</v>
      </c>
      <c r="D31" s="8" t="e">
        <f>VLOOKUP(B31,courses_program1!A:E,4,0)</f>
        <v>#N/A</v>
      </c>
      <c r="E31" s="8" t="e">
        <f>VLOOKUP(B31,courses_program1!A:E,5,0)</f>
        <v>#N/A</v>
      </c>
      <c r="F31" s="8">
        <f>VLOOKUP(C31,courses_program1!A:E,4,0)</f>
        <v>-1</v>
      </c>
      <c r="G31" s="8">
        <f>VLOOKUP(C31,courses_program1!A:E,5,0)</f>
        <v>9</v>
      </c>
      <c r="H31" s="2">
        <v>1</v>
      </c>
      <c r="I31" s="2" t="e">
        <f t="shared" ca="1" si="0"/>
        <v>#NAME?</v>
      </c>
    </row>
    <row r="32" spans="1:9" ht="15.75" customHeight="1" x14ac:dyDescent="0.2">
      <c r="A32" s="2">
        <v>21</v>
      </c>
      <c r="B32" s="2" t="s">
        <v>44</v>
      </c>
      <c r="C32" s="2" t="s">
        <v>28</v>
      </c>
      <c r="D32" s="8" t="e">
        <f>VLOOKUP(B32,courses_program1!A:E,4,0)</f>
        <v>#N/A</v>
      </c>
      <c r="E32" s="8" t="e">
        <f>VLOOKUP(B32,courses_program1!A:E,5,0)</f>
        <v>#N/A</v>
      </c>
      <c r="F32" s="8">
        <f>VLOOKUP(C32,courses_program1!A:E,4,0)</f>
        <v>0</v>
      </c>
      <c r="G32" s="8">
        <f>VLOOKUP(C32,courses_program1!A:E,5,0)</f>
        <v>6</v>
      </c>
      <c r="H32" s="2">
        <v>1</v>
      </c>
      <c r="I32" s="2" t="e">
        <f t="shared" ca="1" si="0"/>
        <v>#NAME?</v>
      </c>
    </row>
    <row r="33" spans="1:9" ht="15.75" customHeight="1" x14ac:dyDescent="0.2">
      <c r="A33" s="2">
        <v>22</v>
      </c>
      <c r="B33" s="2" t="s">
        <v>44</v>
      </c>
      <c r="C33" s="2" t="s">
        <v>33</v>
      </c>
      <c r="D33" s="8" t="e">
        <f>VLOOKUP(B33,courses_program1!A:E,4,0)</f>
        <v>#N/A</v>
      </c>
      <c r="E33" s="8" t="e">
        <f>VLOOKUP(B33,courses_program1!A:E,5,0)</f>
        <v>#N/A</v>
      </c>
      <c r="F33" s="8" t="e">
        <f>VLOOKUP(C33,courses_program1!A:E,4,0)</f>
        <v>#N/A</v>
      </c>
      <c r="G33" s="8" t="e">
        <f>VLOOKUP(C33,courses_program1!A:E,5,0)</f>
        <v>#N/A</v>
      </c>
      <c r="H33" s="2">
        <v>1</v>
      </c>
      <c r="I33" s="2" t="e">
        <f t="shared" ca="1" si="0"/>
        <v>#NAME?</v>
      </c>
    </row>
    <row r="34" spans="1:9" ht="15.75" customHeight="1" x14ac:dyDescent="0.2">
      <c r="A34" s="2">
        <v>22</v>
      </c>
      <c r="B34" s="2" t="s">
        <v>44</v>
      </c>
      <c r="C34" s="2" t="s">
        <v>53</v>
      </c>
      <c r="D34" s="8" t="e">
        <f>VLOOKUP(B34,courses_program1!A:E,4,0)</f>
        <v>#N/A</v>
      </c>
      <c r="E34" s="8" t="e">
        <f>VLOOKUP(B34,courses_program1!A:E,5,0)</f>
        <v>#N/A</v>
      </c>
      <c r="F34" s="8" t="e">
        <f>VLOOKUP(C34,courses_program1!A:E,4,0)</f>
        <v>#N/A</v>
      </c>
      <c r="G34" s="8" t="e">
        <f>VLOOKUP(C34,courses_program1!A:E,5,0)</f>
        <v>#N/A</v>
      </c>
      <c r="H34" s="2">
        <v>0</v>
      </c>
      <c r="I34" s="2" t="e">
        <f t="shared" ca="1" si="0"/>
        <v>#NAME?</v>
      </c>
    </row>
    <row r="35" spans="1:9" ht="15.75" customHeight="1" x14ac:dyDescent="0.2">
      <c r="A35" s="2">
        <v>23</v>
      </c>
      <c r="B35" s="2" t="s">
        <v>45</v>
      </c>
      <c r="C35" s="2" t="s">
        <v>34</v>
      </c>
      <c r="D35" s="8">
        <f>VLOOKUP(B35,courses_program1!A:E,4,0)</f>
        <v>-2</v>
      </c>
      <c r="E35" s="8">
        <f>VLOOKUP(B35,courses_program1!A:E,5,0)</f>
        <v>12</v>
      </c>
      <c r="F35" s="8">
        <f>VLOOKUP(C35,courses_program1!A:E,4,0)</f>
        <v>-1</v>
      </c>
      <c r="G35" s="8">
        <f>VLOOKUP(C35,courses_program1!A:E,5,0)</f>
        <v>9</v>
      </c>
      <c r="H35" s="2">
        <v>1</v>
      </c>
      <c r="I35" s="2" t="e">
        <f t="shared" ca="1" si="0"/>
        <v>#NAME?</v>
      </c>
    </row>
    <row r="36" spans="1:9" ht="15.75" customHeight="1" x14ac:dyDescent="0.2">
      <c r="A36" s="2">
        <v>23</v>
      </c>
      <c r="B36" s="2" t="s">
        <v>45</v>
      </c>
      <c r="C36" s="2" t="s">
        <v>25</v>
      </c>
      <c r="D36" s="8">
        <f>VLOOKUP(B36,courses_program1!A:E,4,0)</f>
        <v>-2</v>
      </c>
      <c r="E36" s="8">
        <f>VLOOKUP(B36,courses_program1!A:E,5,0)</f>
        <v>12</v>
      </c>
      <c r="F36" s="8">
        <f>VLOOKUP(C36,courses_program1!A:E,4,0)</f>
        <v>1</v>
      </c>
      <c r="G36" s="8">
        <f>VLOOKUP(C36,courses_program1!A:E,5,0)</f>
        <v>9</v>
      </c>
      <c r="H36" s="2">
        <v>0</v>
      </c>
      <c r="I36" s="2" t="e">
        <f t="shared" ca="1" si="0"/>
        <v>#NAME?</v>
      </c>
    </row>
    <row r="37" spans="1:9" ht="15.75" customHeight="1" x14ac:dyDescent="0.2">
      <c r="A37" s="2">
        <v>23</v>
      </c>
      <c r="B37" s="2" t="s">
        <v>45</v>
      </c>
      <c r="C37" s="2" t="s">
        <v>67</v>
      </c>
      <c r="D37" s="8">
        <f>VLOOKUP(B37,courses_program1!A:E,4,0)</f>
        <v>-2</v>
      </c>
      <c r="E37" s="8">
        <f>VLOOKUP(B37,courses_program1!A:E,5,0)</f>
        <v>12</v>
      </c>
      <c r="F37" s="8">
        <f>VLOOKUP(C37,courses_program1!A:E,4,0)</f>
        <v>0</v>
      </c>
      <c r="G37" s="8">
        <f>VLOOKUP(C37,courses_program1!A:E,5,0)</f>
        <v>12</v>
      </c>
      <c r="H37" s="2">
        <v>1</v>
      </c>
      <c r="I37" s="2" t="e">
        <f t="shared" ca="1" si="0"/>
        <v>#NAME?</v>
      </c>
    </row>
    <row r="38" spans="1:9" ht="15.75" customHeight="1" x14ac:dyDescent="0.2">
      <c r="A38" s="2">
        <v>23</v>
      </c>
      <c r="B38" s="2" t="s">
        <v>45</v>
      </c>
      <c r="C38" s="2" t="s">
        <v>28</v>
      </c>
      <c r="D38" s="8">
        <f>VLOOKUP(B38,courses_program1!A:E,4,0)</f>
        <v>-2</v>
      </c>
      <c r="E38" s="8">
        <f>VLOOKUP(B38,courses_program1!A:E,5,0)</f>
        <v>12</v>
      </c>
      <c r="F38" s="8">
        <f>VLOOKUP(C38,courses_program1!A:E,4,0)</f>
        <v>0</v>
      </c>
      <c r="G38" s="8">
        <f>VLOOKUP(C38,courses_program1!A:E,5,0)</f>
        <v>6</v>
      </c>
      <c r="H38" s="2">
        <v>1</v>
      </c>
      <c r="I38" s="2" t="e">
        <f t="shared" ca="1" si="0"/>
        <v>#NAME?</v>
      </c>
    </row>
    <row r="39" spans="1:9" ht="15.75" customHeight="1" x14ac:dyDescent="0.2">
      <c r="A39" s="2">
        <v>24</v>
      </c>
      <c r="B39" s="2" t="s">
        <v>48</v>
      </c>
      <c r="C39" s="2" t="s">
        <v>28</v>
      </c>
      <c r="D39" s="8" t="e">
        <f>VLOOKUP(B39,courses_program1!A:E,4,0)</f>
        <v>#N/A</v>
      </c>
      <c r="E39" s="8" t="e">
        <f>VLOOKUP(B39,courses_program1!A:E,5,0)</f>
        <v>#N/A</v>
      </c>
      <c r="F39" s="8">
        <f>VLOOKUP(C39,courses_program1!A:E,4,0)</f>
        <v>0</v>
      </c>
      <c r="G39" s="8">
        <f>VLOOKUP(C39,courses_program1!A:E,5,0)</f>
        <v>6</v>
      </c>
      <c r="H39" s="2">
        <v>1</v>
      </c>
      <c r="I39" s="2" t="e">
        <f t="shared" ca="1" si="0"/>
        <v>#NAME?</v>
      </c>
    </row>
    <row r="40" spans="1:9" ht="15.75" customHeight="1" x14ac:dyDescent="0.2">
      <c r="A40" s="2">
        <v>25</v>
      </c>
      <c r="B40" s="2" t="s">
        <v>48</v>
      </c>
      <c r="C40" s="2" t="s">
        <v>6</v>
      </c>
      <c r="D40" s="8" t="e">
        <f>VLOOKUP(B40,courses_program1!A:E,4,0)</f>
        <v>#N/A</v>
      </c>
      <c r="E40" s="8" t="e">
        <f>VLOOKUP(B40,courses_program1!A:E,5,0)</f>
        <v>#N/A</v>
      </c>
      <c r="F40" s="8">
        <f>VLOOKUP(C40,courses_program1!A:E,4,0)</f>
        <v>0</v>
      </c>
      <c r="G40" s="8">
        <f>VLOOKUP(C40,courses_program1!A:E,5,0)</f>
        <v>3</v>
      </c>
      <c r="H40" s="2">
        <v>1</v>
      </c>
      <c r="I40" s="2" t="e">
        <f t="shared" ca="1" si="0"/>
        <v>#NAME?</v>
      </c>
    </row>
    <row r="41" spans="1:9" ht="15.75" customHeight="1" x14ac:dyDescent="0.2">
      <c r="A41" s="2">
        <v>25</v>
      </c>
      <c r="B41" s="2" t="s">
        <v>48</v>
      </c>
      <c r="C41" s="2" t="s">
        <v>17</v>
      </c>
      <c r="D41" s="8" t="e">
        <f>VLOOKUP(B41,courses_program1!A:E,4,0)</f>
        <v>#N/A</v>
      </c>
      <c r="E41" s="8" t="e">
        <f>VLOOKUP(B41,courses_program1!A:E,5,0)</f>
        <v>#N/A</v>
      </c>
      <c r="F41" s="8">
        <f>VLOOKUP(C41,courses_program1!A:E,4,0)</f>
        <v>-2</v>
      </c>
      <c r="G41" s="8">
        <f>VLOOKUP(C41,courses_program1!A:E,5,0)</f>
        <v>0</v>
      </c>
      <c r="H41" s="2">
        <v>0</v>
      </c>
      <c r="I41" s="2" t="e">
        <f t="shared" ca="1" si="0"/>
        <v>#NAME?</v>
      </c>
    </row>
    <row r="42" spans="1:9" ht="15.75" customHeight="1" x14ac:dyDescent="0.2">
      <c r="A42" s="2">
        <v>25</v>
      </c>
      <c r="B42" s="2" t="s">
        <v>48</v>
      </c>
      <c r="C42" s="2" t="s">
        <v>21</v>
      </c>
      <c r="D42" s="8" t="e">
        <f>VLOOKUP(B42,courses_program1!A:E,4,0)</f>
        <v>#N/A</v>
      </c>
      <c r="E42" s="8" t="e">
        <f>VLOOKUP(B42,courses_program1!A:E,5,0)</f>
        <v>#N/A</v>
      </c>
      <c r="F42" s="8">
        <f>VLOOKUP(C42,courses_program1!A:E,4,0)</f>
        <v>2</v>
      </c>
      <c r="G42" s="8">
        <f>VLOOKUP(C42,courses_program1!A:E,5,0)</f>
        <v>6</v>
      </c>
      <c r="H42" s="2">
        <v>0</v>
      </c>
      <c r="I42" s="2" t="e">
        <f t="shared" ca="1" si="0"/>
        <v>#NAME?</v>
      </c>
    </row>
    <row r="43" spans="1:9" ht="15.75" customHeight="1" x14ac:dyDescent="0.2">
      <c r="A43" s="2">
        <v>26</v>
      </c>
      <c r="B43" s="2" t="s">
        <v>48</v>
      </c>
      <c r="C43" s="2" t="s">
        <v>33</v>
      </c>
      <c r="D43" s="8" t="e">
        <f>VLOOKUP(B43,courses_program1!A:E,4,0)</f>
        <v>#N/A</v>
      </c>
      <c r="E43" s="8" t="e">
        <f>VLOOKUP(B43,courses_program1!A:E,5,0)</f>
        <v>#N/A</v>
      </c>
      <c r="F43" s="8" t="e">
        <f>VLOOKUP(C43,courses_program1!A:E,4,0)</f>
        <v>#N/A</v>
      </c>
      <c r="G43" s="8" t="e">
        <f>VLOOKUP(C43,courses_program1!A:E,5,0)</f>
        <v>#N/A</v>
      </c>
      <c r="H43" s="2">
        <v>1</v>
      </c>
      <c r="I43" s="2" t="e">
        <f t="shared" ca="1" si="0"/>
        <v>#NAME?</v>
      </c>
    </row>
    <row r="44" spans="1:9" ht="15.75" customHeight="1" x14ac:dyDescent="0.2">
      <c r="A44" s="2">
        <v>27</v>
      </c>
      <c r="B44" s="2" t="s">
        <v>49</v>
      </c>
      <c r="C44" s="2" t="s">
        <v>34</v>
      </c>
      <c r="D44" s="8" t="e">
        <f>VLOOKUP(B44,courses_program1!A:E,4,0)</f>
        <v>#N/A</v>
      </c>
      <c r="E44" s="8" t="e">
        <f>VLOOKUP(B44,courses_program1!A:E,5,0)</f>
        <v>#N/A</v>
      </c>
      <c r="F44" s="8">
        <f>VLOOKUP(C44,courses_program1!A:E,4,0)</f>
        <v>-1</v>
      </c>
      <c r="G44" s="8">
        <f>VLOOKUP(C44,courses_program1!A:E,5,0)</f>
        <v>9</v>
      </c>
      <c r="H44" s="2">
        <v>1</v>
      </c>
      <c r="I44" s="2" t="e">
        <f t="shared" ca="1" si="0"/>
        <v>#NAME?</v>
      </c>
    </row>
    <row r="45" spans="1:9" ht="15.75" customHeight="1" x14ac:dyDescent="0.2">
      <c r="A45" s="2">
        <v>28</v>
      </c>
      <c r="B45" s="2" t="s">
        <v>50</v>
      </c>
      <c r="C45" s="2" t="s">
        <v>33</v>
      </c>
      <c r="D45" s="8" t="e">
        <f>VLOOKUP(B45,courses_program1!A:E,4,0)</f>
        <v>#N/A</v>
      </c>
      <c r="E45" s="8" t="e">
        <f>VLOOKUP(B45,courses_program1!A:E,5,0)</f>
        <v>#N/A</v>
      </c>
      <c r="F45" s="8" t="e">
        <f>VLOOKUP(C45,courses_program1!A:E,4,0)</f>
        <v>#N/A</v>
      </c>
      <c r="G45" s="8" t="e">
        <f>VLOOKUP(C45,courses_program1!A:E,5,0)</f>
        <v>#N/A</v>
      </c>
      <c r="H45" s="2">
        <v>1</v>
      </c>
      <c r="I45" s="2" t="e">
        <f t="shared" ca="1" si="0"/>
        <v>#NAME?</v>
      </c>
    </row>
    <row r="46" spans="1:9" ht="15.75" customHeight="1" x14ac:dyDescent="0.2">
      <c r="A46" s="2">
        <v>30</v>
      </c>
      <c r="B46" s="2" t="s">
        <v>52</v>
      </c>
      <c r="C46" s="2" t="s">
        <v>34</v>
      </c>
      <c r="D46" s="8" t="e">
        <f>VLOOKUP(B46,courses_program1!A:E,4,0)</f>
        <v>#N/A</v>
      </c>
      <c r="E46" s="8" t="e">
        <f>VLOOKUP(B46,courses_program1!A:E,5,0)</f>
        <v>#N/A</v>
      </c>
      <c r="F46" s="8">
        <f>VLOOKUP(C46,courses_program1!A:E,4,0)</f>
        <v>-1</v>
      </c>
      <c r="G46" s="8">
        <f>VLOOKUP(C46,courses_program1!A:E,5,0)</f>
        <v>9</v>
      </c>
      <c r="H46" s="2">
        <v>1</v>
      </c>
      <c r="I46" s="2" t="e">
        <f t="shared" ca="1" si="0"/>
        <v>#NAME?</v>
      </c>
    </row>
    <row r="47" spans="1:9" ht="15.75" customHeight="1" x14ac:dyDescent="0.2">
      <c r="A47" s="2">
        <v>31</v>
      </c>
      <c r="B47" s="2" t="s">
        <v>53</v>
      </c>
      <c r="C47" s="2" t="s">
        <v>71</v>
      </c>
      <c r="D47" s="8" t="e">
        <f>VLOOKUP(B47,courses_program1!A:E,4,0)</f>
        <v>#N/A</v>
      </c>
      <c r="E47" s="8" t="e">
        <f>VLOOKUP(B47,courses_program1!A:E,5,0)</f>
        <v>#N/A</v>
      </c>
      <c r="F47" s="8" t="e">
        <f>VLOOKUP(C47,courses_program1!A:E,4,0)</f>
        <v>#N/A</v>
      </c>
      <c r="G47" s="8" t="e">
        <f>VLOOKUP(C47,courses_program1!A:E,5,0)</f>
        <v>#N/A</v>
      </c>
      <c r="H47" s="2">
        <v>1</v>
      </c>
      <c r="I47" s="2" t="e">
        <f t="shared" ca="1" si="0"/>
        <v>#NAME?</v>
      </c>
    </row>
    <row r="48" spans="1:9" ht="15.75" customHeight="1" x14ac:dyDescent="0.2">
      <c r="A48" s="2">
        <v>32</v>
      </c>
      <c r="B48" s="2" t="s">
        <v>53</v>
      </c>
      <c r="C48" s="2" t="s">
        <v>33</v>
      </c>
      <c r="D48" s="8" t="e">
        <f>VLOOKUP(B48,courses_program1!A:E,4,0)</f>
        <v>#N/A</v>
      </c>
      <c r="E48" s="8" t="e">
        <f>VLOOKUP(B48,courses_program1!A:E,5,0)</f>
        <v>#N/A</v>
      </c>
      <c r="F48" s="8" t="e">
        <f>VLOOKUP(C48,courses_program1!A:E,4,0)</f>
        <v>#N/A</v>
      </c>
      <c r="G48" s="8" t="e">
        <f>VLOOKUP(C48,courses_program1!A:E,5,0)</f>
        <v>#N/A</v>
      </c>
      <c r="H48" s="2">
        <v>1</v>
      </c>
      <c r="I48" s="2" t="e">
        <f t="shared" ca="1" si="0"/>
        <v>#NAME?</v>
      </c>
    </row>
    <row r="49" spans="1:9" ht="15.75" customHeight="1" x14ac:dyDescent="0.2">
      <c r="A49" s="2">
        <v>33</v>
      </c>
      <c r="B49" s="2" t="s">
        <v>53</v>
      </c>
      <c r="C49" s="2" t="s">
        <v>67</v>
      </c>
      <c r="D49" s="8" t="e">
        <f>VLOOKUP(B49,courses_program1!A:E,4,0)</f>
        <v>#N/A</v>
      </c>
      <c r="E49" s="8" t="e">
        <f>VLOOKUP(B49,courses_program1!A:E,5,0)</f>
        <v>#N/A</v>
      </c>
      <c r="F49" s="8">
        <f>VLOOKUP(C49,courses_program1!A:E,4,0)</f>
        <v>0</v>
      </c>
      <c r="G49" s="8">
        <f>VLOOKUP(C49,courses_program1!A:E,5,0)</f>
        <v>12</v>
      </c>
      <c r="H49" s="2">
        <v>1</v>
      </c>
      <c r="I49" s="2" t="e">
        <f t="shared" ca="1" si="0"/>
        <v>#NAME?</v>
      </c>
    </row>
    <row r="50" spans="1:9" ht="15.75" customHeight="1" x14ac:dyDescent="0.2">
      <c r="A50" s="2">
        <v>34</v>
      </c>
      <c r="B50" s="2" t="s">
        <v>54</v>
      </c>
      <c r="C50" s="2" t="s">
        <v>53</v>
      </c>
      <c r="D50" s="8" t="e">
        <f>VLOOKUP(B50,courses_program1!A:E,4,0)</f>
        <v>#N/A</v>
      </c>
      <c r="E50" s="8" t="e">
        <f>VLOOKUP(B50,courses_program1!A:E,5,0)</f>
        <v>#N/A</v>
      </c>
      <c r="F50" s="8" t="e">
        <f>VLOOKUP(C50,courses_program1!A:E,4,0)</f>
        <v>#N/A</v>
      </c>
      <c r="G50" s="8" t="e">
        <f>VLOOKUP(C50,courses_program1!A:E,5,0)</f>
        <v>#N/A</v>
      </c>
      <c r="H50" s="2">
        <v>1</v>
      </c>
      <c r="I50" s="2" t="e">
        <f t="shared" ca="1" si="0"/>
        <v>#NAME?</v>
      </c>
    </row>
    <row r="51" spans="1:9" ht="15.75" customHeight="1" x14ac:dyDescent="0.2">
      <c r="A51" s="2">
        <v>36</v>
      </c>
      <c r="B51" s="2" t="s">
        <v>59</v>
      </c>
      <c r="C51" s="2" t="s">
        <v>55</v>
      </c>
      <c r="D51" s="8">
        <f>VLOOKUP(B51,courses_program1!A:E,4,0)</f>
        <v>2</v>
      </c>
      <c r="E51" s="8">
        <f>VLOOKUP(B51,courses_program1!A:E,5,0)</f>
        <v>15</v>
      </c>
      <c r="F51" s="8">
        <f>VLOOKUP(C51,courses_program1!A:E,4,0)</f>
        <v>2</v>
      </c>
      <c r="G51" s="8">
        <f>VLOOKUP(C51,courses_program1!A:E,5,0)</f>
        <v>12</v>
      </c>
      <c r="H51" s="2">
        <v>1</v>
      </c>
      <c r="I51" s="2" t="e">
        <f t="shared" ca="1" si="0"/>
        <v>#NAME?</v>
      </c>
    </row>
    <row r="52" spans="1:9" ht="15.75" customHeight="1" x14ac:dyDescent="0.2">
      <c r="A52" s="2">
        <v>37</v>
      </c>
      <c r="B52" s="2" t="s">
        <v>63</v>
      </c>
      <c r="C52" s="2" t="s">
        <v>59</v>
      </c>
      <c r="D52" s="8">
        <f>VLOOKUP(B52,courses_program1!A:E,4,0)</f>
        <v>0</v>
      </c>
      <c r="E52" s="8">
        <f>VLOOKUP(B52,courses_program1!A:E,5,0)</f>
        <v>15</v>
      </c>
      <c r="F52" s="8">
        <f>VLOOKUP(C52,courses_program1!A:E,4,0)</f>
        <v>2</v>
      </c>
      <c r="G52" s="8">
        <f>VLOOKUP(C52,courses_program1!A:E,5,0)</f>
        <v>15</v>
      </c>
      <c r="H52" s="2">
        <v>1</v>
      </c>
      <c r="I52" s="2" t="e">
        <f t="shared" ca="1" si="0"/>
        <v>#NAME?</v>
      </c>
    </row>
    <row r="53" spans="1:9" ht="15.75" customHeight="1" x14ac:dyDescent="0.2">
      <c r="A53" s="2">
        <v>38</v>
      </c>
      <c r="B53" s="2" t="s">
        <v>67</v>
      </c>
      <c r="C53" s="2" t="s">
        <v>55</v>
      </c>
      <c r="D53" s="8">
        <f>VLOOKUP(B53,courses_program1!A:E,4,0)</f>
        <v>0</v>
      </c>
      <c r="E53" s="8">
        <f>VLOOKUP(B53,courses_program1!A:E,5,0)</f>
        <v>12</v>
      </c>
      <c r="F53" s="8">
        <f>VLOOKUP(C53,courses_program1!A:E,4,0)</f>
        <v>2</v>
      </c>
      <c r="G53" s="8">
        <f>VLOOKUP(C53,courses_program1!A:E,5,0)</f>
        <v>12</v>
      </c>
      <c r="H53" s="2">
        <v>1</v>
      </c>
      <c r="I53" s="2" t="e">
        <f t="shared" ca="1" si="0"/>
        <v>#NAME?</v>
      </c>
    </row>
    <row r="54" spans="1:9" ht="15.75" customHeight="1" x14ac:dyDescent="0.2">
      <c r="A54" s="2">
        <v>39</v>
      </c>
      <c r="B54" s="2" t="s">
        <v>71</v>
      </c>
      <c r="C54" s="2" t="s">
        <v>63</v>
      </c>
      <c r="D54" s="8" t="e">
        <f>VLOOKUP(B54,courses_program1!A:E,4,0)</f>
        <v>#N/A</v>
      </c>
      <c r="E54" s="8" t="e">
        <f>VLOOKUP(B54,courses_program1!A:E,5,0)</f>
        <v>#N/A</v>
      </c>
      <c r="F54" s="8">
        <f>VLOOKUP(C54,courses_program1!A:E,4,0)</f>
        <v>0</v>
      </c>
      <c r="G54" s="8">
        <f>VLOOKUP(C54,courses_program1!A:E,5,0)</f>
        <v>15</v>
      </c>
      <c r="H54" s="2">
        <v>1</v>
      </c>
      <c r="I54" s="2" t="e">
        <f t="shared" ca="1" si="0"/>
        <v>#NAME?</v>
      </c>
    </row>
    <row r="55" spans="1:9" ht="15.75" customHeight="1" x14ac:dyDescent="0.2">
      <c r="A55" s="2">
        <v>41</v>
      </c>
      <c r="B55" s="2" t="s">
        <v>75</v>
      </c>
      <c r="C55" s="2" t="s">
        <v>72</v>
      </c>
      <c r="D55" s="8">
        <f>VLOOKUP(B55,courses_program1!A:E,4,0)</f>
        <v>1</v>
      </c>
      <c r="E55" s="8">
        <f>VLOOKUP(B55,courses_program1!A:E,5,0)</f>
        <v>21</v>
      </c>
      <c r="F55" s="8">
        <f>VLOOKUP(C55,courses_program1!A:E,4,0)</f>
        <v>0</v>
      </c>
      <c r="G55" s="8">
        <f>VLOOKUP(C55,courses_program1!A:E,5,0)</f>
        <v>18</v>
      </c>
      <c r="H55" s="2">
        <v>1</v>
      </c>
      <c r="I55" s="2" t="e">
        <f t="shared" ca="1" si="0"/>
        <v>#NAME?</v>
      </c>
    </row>
    <row r="56" spans="1:9" ht="15.75" customHeight="1" x14ac:dyDescent="0.2">
      <c r="D56" s="8"/>
      <c r="E56" s="8"/>
      <c r="F56" s="8"/>
      <c r="G56" s="8"/>
    </row>
    <row r="57" spans="1:9" ht="15.75" customHeight="1" x14ac:dyDescent="0.2">
      <c r="D57" s="8"/>
      <c r="E57" s="8"/>
      <c r="F57" s="8"/>
      <c r="G57" s="8"/>
    </row>
    <row r="58" spans="1:9" ht="15.75" customHeight="1" x14ac:dyDescent="0.2">
      <c r="D58" s="8"/>
      <c r="E58" s="8"/>
      <c r="F58" s="8"/>
      <c r="G58" s="8"/>
    </row>
    <row r="59" spans="1:9" ht="15.75" customHeight="1" x14ac:dyDescent="0.2">
      <c r="D59" s="8"/>
      <c r="E59" s="8"/>
      <c r="F59" s="8"/>
      <c r="G59" s="8"/>
    </row>
    <row r="60" spans="1:9" ht="15.75" customHeight="1" x14ac:dyDescent="0.2">
      <c r="D60" s="8"/>
      <c r="E60" s="8"/>
      <c r="F60" s="8"/>
      <c r="G60" s="8"/>
    </row>
    <row r="61" spans="1:9" ht="15.75" customHeight="1" x14ac:dyDescent="0.2">
      <c r="D61" s="8"/>
      <c r="E61" s="8"/>
      <c r="F61" s="8"/>
      <c r="G61" s="8"/>
    </row>
    <row r="62" spans="1:9" ht="15.75" customHeight="1" x14ac:dyDescent="0.2">
      <c r="D62" s="8"/>
      <c r="E62" s="8"/>
      <c r="F62" s="8"/>
      <c r="G62" s="8"/>
    </row>
    <row r="63" spans="1:9" ht="15.75" customHeight="1" x14ac:dyDescent="0.2">
      <c r="D63" s="8"/>
      <c r="E63" s="8"/>
      <c r="F63" s="8"/>
      <c r="G63" s="8"/>
    </row>
    <row r="64" spans="1:9" ht="15.75" customHeight="1" x14ac:dyDescent="0.2">
      <c r="D64" s="8"/>
      <c r="E64" s="8"/>
      <c r="F64" s="8"/>
      <c r="G64" s="8"/>
    </row>
    <row r="65" spans="4:8" ht="15.75" customHeight="1" x14ac:dyDescent="0.2">
      <c r="D65" s="8"/>
      <c r="E65" s="8"/>
      <c r="F65" s="8"/>
      <c r="G65" s="8"/>
    </row>
    <row r="66" spans="4:8" ht="15.75" customHeight="1" x14ac:dyDescent="0.2">
      <c r="D66" s="8"/>
      <c r="E66" s="8"/>
      <c r="F66" s="8"/>
      <c r="G66" s="8"/>
    </row>
    <row r="67" spans="4:8" ht="15.75" customHeight="1" x14ac:dyDescent="0.2">
      <c r="D67" s="8"/>
      <c r="E67" s="8"/>
      <c r="F67" s="8"/>
      <c r="G67" s="8"/>
    </row>
    <row r="68" spans="4:8" ht="15.75" customHeight="1" x14ac:dyDescent="0.2">
      <c r="D68" s="8"/>
      <c r="E68" s="8"/>
      <c r="F68" s="8"/>
      <c r="G68" s="8"/>
    </row>
    <row r="69" spans="4:8" ht="15.75" customHeight="1" x14ac:dyDescent="0.2">
      <c r="D69" s="8"/>
      <c r="E69" s="8"/>
      <c r="F69" s="8"/>
      <c r="G69" s="8"/>
    </row>
    <row r="70" spans="4:8" ht="15.75" customHeight="1" x14ac:dyDescent="0.2">
      <c r="D70" s="8"/>
      <c r="E70" s="8"/>
      <c r="F70" s="8"/>
      <c r="G70" s="8"/>
    </row>
    <row r="71" spans="4:8" ht="15.75" customHeight="1" x14ac:dyDescent="0.2">
      <c r="D71" s="8"/>
      <c r="E71" s="8"/>
      <c r="F71" s="8"/>
      <c r="G71" s="8"/>
    </row>
    <row r="72" spans="4:8" ht="15.75" customHeight="1" x14ac:dyDescent="0.2">
      <c r="D72" s="8"/>
      <c r="E72" s="8"/>
      <c r="F72" s="8"/>
      <c r="G72" s="8"/>
    </row>
    <row r="73" spans="4:8" ht="15.75" customHeight="1" x14ac:dyDescent="0.2">
      <c r="D73" s="8"/>
      <c r="E73" s="8"/>
      <c r="F73" s="8"/>
      <c r="G73" s="8"/>
    </row>
    <row r="74" spans="4:8" ht="15.75" customHeight="1" x14ac:dyDescent="0.2">
      <c r="D74" s="8"/>
      <c r="E74" s="8"/>
      <c r="F74" s="8"/>
      <c r="G74" s="8"/>
      <c r="H74" s="7"/>
    </row>
    <row r="75" spans="4:8" ht="15.75" customHeight="1" x14ac:dyDescent="0.2"/>
    <row r="76" spans="4:8" ht="15.75" customHeight="1" x14ac:dyDescent="0.2"/>
    <row r="77" spans="4:8" ht="15.75" customHeight="1" x14ac:dyDescent="0.2"/>
    <row r="78" spans="4:8" ht="15.75" customHeight="1" x14ac:dyDescent="0.2"/>
    <row r="79" spans="4:8" ht="15.75" customHeight="1" x14ac:dyDescent="0.2"/>
    <row r="80" spans="4: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workbookViewId="0"/>
  </sheetViews>
  <sheetFormatPr baseColWidth="10" defaultColWidth="14.5" defaultRowHeight="15" customHeight="1" x14ac:dyDescent="0.2"/>
  <cols>
    <col min="1" max="1" width="13.83203125" customWidth="1"/>
    <col min="2" max="6" width="10.6640625" customWidth="1"/>
  </cols>
  <sheetData>
    <row r="1" spans="1:13" x14ac:dyDescent="0.2">
      <c r="A1" s="1" t="s">
        <v>0</v>
      </c>
      <c r="B1" s="5" t="s">
        <v>121</v>
      </c>
      <c r="C1" s="5" t="s">
        <v>122</v>
      </c>
      <c r="D1" s="5" t="s">
        <v>123</v>
      </c>
      <c r="E1" s="5" t="s">
        <v>124</v>
      </c>
      <c r="F1" s="4" t="s">
        <v>125</v>
      </c>
      <c r="H1" s="1"/>
      <c r="I1" s="5"/>
      <c r="J1" s="5"/>
      <c r="K1" s="5"/>
      <c r="L1" s="5"/>
      <c r="M1" s="5"/>
    </row>
    <row r="2" spans="1:13" x14ac:dyDescent="0.2">
      <c r="A2" s="5" t="s">
        <v>6</v>
      </c>
      <c r="B2" s="5">
        <v>2</v>
      </c>
      <c r="C2" s="5">
        <v>16</v>
      </c>
      <c r="D2" s="2">
        <v>0</v>
      </c>
      <c r="E2" s="2">
        <v>3</v>
      </c>
      <c r="F2" s="4">
        <v>1</v>
      </c>
      <c r="H2" s="5"/>
      <c r="I2" s="5"/>
      <c r="J2" s="5"/>
      <c r="M2" s="5"/>
    </row>
    <row r="3" spans="1:13" x14ac:dyDescent="0.2">
      <c r="A3" s="5" t="s">
        <v>12</v>
      </c>
      <c r="B3" s="5">
        <v>2</v>
      </c>
      <c r="C3" s="5">
        <v>24</v>
      </c>
      <c r="D3" s="2">
        <v>2</v>
      </c>
      <c r="E3" s="2">
        <v>3</v>
      </c>
      <c r="F3" s="4">
        <v>1</v>
      </c>
      <c r="H3" s="5"/>
      <c r="I3" s="5"/>
      <c r="J3" s="5"/>
      <c r="M3" s="5"/>
    </row>
    <row r="4" spans="1:13" x14ac:dyDescent="0.2">
      <c r="A4" s="5" t="s">
        <v>16</v>
      </c>
      <c r="B4" s="5">
        <v>1</v>
      </c>
      <c r="C4" s="5">
        <v>8</v>
      </c>
      <c r="D4" s="2">
        <v>-2</v>
      </c>
      <c r="E4" s="2">
        <v>0</v>
      </c>
      <c r="F4" s="4">
        <v>0</v>
      </c>
      <c r="H4" s="5"/>
      <c r="I4" s="5"/>
      <c r="J4" s="5"/>
      <c r="M4" s="5"/>
    </row>
    <row r="5" spans="1:13" x14ac:dyDescent="0.2">
      <c r="A5" s="5" t="s">
        <v>17</v>
      </c>
      <c r="B5" s="5">
        <v>3</v>
      </c>
      <c r="C5" s="5">
        <v>8</v>
      </c>
      <c r="D5" s="2">
        <v>2</v>
      </c>
      <c r="E5" s="2">
        <v>6</v>
      </c>
      <c r="F5" s="4">
        <v>0</v>
      </c>
      <c r="H5" s="5"/>
      <c r="I5" s="5"/>
      <c r="J5" s="5"/>
      <c r="M5" s="5"/>
    </row>
    <row r="6" spans="1:13" x14ac:dyDescent="0.2">
      <c r="A6" s="5" t="s">
        <v>21</v>
      </c>
      <c r="B6" s="5">
        <v>3</v>
      </c>
      <c r="C6" s="5">
        <v>20</v>
      </c>
      <c r="D6" s="2">
        <v>1</v>
      </c>
      <c r="E6" s="2">
        <v>9</v>
      </c>
      <c r="F6" s="4">
        <v>0</v>
      </c>
      <c r="H6" s="5"/>
      <c r="I6" s="5"/>
      <c r="J6" s="5"/>
      <c r="M6" s="5"/>
    </row>
    <row r="7" spans="1:13" x14ac:dyDescent="0.2">
      <c r="A7" s="5" t="s">
        <v>25</v>
      </c>
      <c r="B7" s="5">
        <v>3</v>
      </c>
      <c r="C7" s="5">
        <v>24</v>
      </c>
      <c r="D7" s="2">
        <v>0</v>
      </c>
      <c r="E7" s="2">
        <v>6</v>
      </c>
      <c r="F7" s="4">
        <v>1</v>
      </c>
      <c r="H7" s="5"/>
      <c r="I7" s="5"/>
      <c r="J7" s="5"/>
      <c r="M7" s="5"/>
    </row>
    <row r="8" spans="1:13" x14ac:dyDescent="0.2">
      <c r="A8" s="5" t="s">
        <v>28</v>
      </c>
      <c r="B8" s="5">
        <v>4</v>
      </c>
      <c r="C8" s="5">
        <v>16</v>
      </c>
      <c r="D8" s="2">
        <v>-1</v>
      </c>
      <c r="E8" s="2">
        <v>9</v>
      </c>
      <c r="F8" s="4">
        <v>1</v>
      </c>
      <c r="H8" s="5"/>
      <c r="I8" s="5"/>
      <c r="J8" s="5"/>
      <c r="M8" s="5"/>
    </row>
    <row r="9" spans="1:13" x14ac:dyDescent="0.2">
      <c r="A9" s="4" t="s">
        <v>33</v>
      </c>
      <c r="B9" s="4">
        <v>5</v>
      </c>
      <c r="C9" s="4">
        <v>18</v>
      </c>
      <c r="D9" s="2">
        <v>-2</v>
      </c>
      <c r="E9" s="2">
        <v>12</v>
      </c>
      <c r="F9" s="4">
        <v>1</v>
      </c>
      <c r="H9" s="4"/>
      <c r="I9" s="4"/>
      <c r="J9" s="4"/>
      <c r="M9" s="5"/>
    </row>
    <row r="10" spans="1:13" x14ac:dyDescent="0.2">
      <c r="A10" s="4" t="s">
        <v>34</v>
      </c>
      <c r="B10" s="4">
        <v>5</v>
      </c>
      <c r="C10" s="4">
        <v>15</v>
      </c>
      <c r="D10" s="2">
        <v>2</v>
      </c>
      <c r="E10" s="2">
        <v>12</v>
      </c>
      <c r="F10" s="4">
        <v>1</v>
      </c>
      <c r="H10" s="4"/>
      <c r="I10" s="4"/>
      <c r="J10" s="4"/>
      <c r="M10" s="5"/>
    </row>
    <row r="11" spans="1:13" x14ac:dyDescent="0.2">
      <c r="A11" s="4" t="s">
        <v>38</v>
      </c>
      <c r="B11" s="4">
        <v>6</v>
      </c>
      <c r="C11" s="4">
        <v>14</v>
      </c>
      <c r="D11" s="2">
        <v>2</v>
      </c>
      <c r="E11" s="2">
        <v>15</v>
      </c>
      <c r="F11" s="4">
        <v>0</v>
      </c>
      <c r="H11" s="4"/>
      <c r="I11" s="4"/>
      <c r="J11" s="4"/>
      <c r="M11" s="5"/>
    </row>
    <row r="12" spans="1:13" ht="16" x14ac:dyDescent="0.2">
      <c r="A12" s="4" t="s">
        <v>39</v>
      </c>
      <c r="B12" s="7">
        <v>6</v>
      </c>
      <c r="C12" s="7">
        <v>13</v>
      </c>
      <c r="D12" s="2">
        <v>0</v>
      </c>
      <c r="E12" s="2">
        <v>15</v>
      </c>
      <c r="F12" s="4">
        <v>0</v>
      </c>
      <c r="H12" s="4"/>
      <c r="I12" s="7"/>
      <c r="J12" s="7"/>
      <c r="M12" s="5"/>
    </row>
    <row r="13" spans="1:13" x14ac:dyDescent="0.2">
      <c r="A13" s="4" t="s">
        <v>40</v>
      </c>
      <c r="B13" s="4">
        <v>6</v>
      </c>
      <c r="C13" s="4">
        <v>18.25</v>
      </c>
      <c r="D13" s="2">
        <v>-2</v>
      </c>
      <c r="E13" s="2">
        <v>15</v>
      </c>
      <c r="F13" s="4">
        <v>0</v>
      </c>
      <c r="H13" s="4"/>
      <c r="I13" s="4"/>
      <c r="J13" s="4"/>
      <c r="M13" s="5"/>
    </row>
    <row r="14" spans="1:13" x14ac:dyDescent="0.2">
      <c r="A14" s="4" t="s">
        <v>41</v>
      </c>
      <c r="B14" s="4">
        <v>3</v>
      </c>
      <c r="C14" s="4">
        <v>18</v>
      </c>
      <c r="D14" s="2">
        <v>3</v>
      </c>
      <c r="E14" s="2">
        <v>9</v>
      </c>
      <c r="F14" s="4">
        <v>0</v>
      </c>
      <c r="H14" s="4"/>
      <c r="I14" s="4"/>
      <c r="J14" s="4"/>
      <c r="M14" s="5"/>
    </row>
    <row r="15" spans="1:13" x14ac:dyDescent="0.2">
      <c r="A15" s="4" t="s">
        <v>42</v>
      </c>
      <c r="B15" s="4">
        <v>5</v>
      </c>
      <c r="C15" s="4">
        <v>14</v>
      </c>
      <c r="D15" s="2">
        <v>0</v>
      </c>
      <c r="E15" s="2">
        <v>12</v>
      </c>
      <c r="F15" s="4">
        <v>0</v>
      </c>
      <c r="H15" s="4"/>
      <c r="I15" s="4"/>
      <c r="J15" s="4"/>
      <c r="M15" s="5"/>
    </row>
    <row r="16" spans="1:13" x14ac:dyDescent="0.2">
      <c r="A16" s="4" t="s">
        <v>43</v>
      </c>
      <c r="B16" s="4">
        <v>7</v>
      </c>
      <c r="C16" s="4">
        <v>18</v>
      </c>
      <c r="D16" s="2">
        <v>0</v>
      </c>
      <c r="E16" s="2">
        <v>18</v>
      </c>
      <c r="F16" s="4">
        <v>1</v>
      </c>
      <c r="H16" s="4"/>
      <c r="I16" s="4"/>
      <c r="J16" s="4"/>
      <c r="M16" s="5"/>
    </row>
    <row r="17" spans="1:13" x14ac:dyDescent="0.2">
      <c r="A17" s="4" t="s">
        <v>44</v>
      </c>
      <c r="B17" s="4">
        <v>7</v>
      </c>
      <c r="C17" s="4">
        <v>19</v>
      </c>
      <c r="D17" s="2">
        <v>1</v>
      </c>
      <c r="E17" s="2">
        <v>21</v>
      </c>
      <c r="F17" s="4">
        <v>0</v>
      </c>
      <c r="H17" s="4"/>
      <c r="I17" s="4"/>
      <c r="J17" s="4"/>
      <c r="M17" s="5"/>
    </row>
    <row r="18" spans="1:13" x14ac:dyDescent="0.2">
      <c r="A18" s="4" t="s">
        <v>45</v>
      </c>
      <c r="B18" s="4">
        <v>7</v>
      </c>
      <c r="C18" s="4">
        <v>17</v>
      </c>
      <c r="D18" s="2">
        <v>2</v>
      </c>
      <c r="E18" s="2">
        <v>18</v>
      </c>
      <c r="F18" s="4">
        <v>0</v>
      </c>
      <c r="H18" s="4"/>
      <c r="I18" s="4"/>
      <c r="J18" s="4"/>
      <c r="M18" s="5"/>
    </row>
    <row r="19" spans="1:13" x14ac:dyDescent="0.2">
      <c r="A19" s="4" t="s">
        <v>48</v>
      </c>
      <c r="B19" s="4">
        <v>7</v>
      </c>
      <c r="C19" s="4">
        <v>16.5</v>
      </c>
      <c r="D19" s="2">
        <v>-2</v>
      </c>
      <c r="E19" s="2">
        <v>18</v>
      </c>
      <c r="F19" s="4">
        <v>0</v>
      </c>
      <c r="H19" s="4"/>
      <c r="I19" s="4"/>
      <c r="J19" s="4"/>
      <c r="M19" s="5"/>
    </row>
    <row r="20" spans="1:13" x14ac:dyDescent="0.2">
      <c r="A20" s="4" t="s">
        <v>49</v>
      </c>
      <c r="B20" s="4">
        <v>7</v>
      </c>
      <c r="C20" s="4">
        <v>15</v>
      </c>
      <c r="D20" s="2">
        <v>4</v>
      </c>
      <c r="E20" s="2">
        <v>18</v>
      </c>
      <c r="F20" s="4">
        <v>0</v>
      </c>
      <c r="H20" s="4"/>
      <c r="I20" s="4"/>
      <c r="J20" s="4"/>
      <c r="M20" s="5"/>
    </row>
    <row r="21" spans="1:13" ht="15.75" customHeight="1" x14ac:dyDescent="0.2">
      <c r="A21" s="4" t="s">
        <v>50</v>
      </c>
      <c r="B21" s="4">
        <v>7</v>
      </c>
      <c r="C21" s="4">
        <v>20</v>
      </c>
      <c r="D21" s="2">
        <v>-6</v>
      </c>
      <c r="E21" s="2">
        <v>18</v>
      </c>
      <c r="F21" s="4">
        <v>0</v>
      </c>
      <c r="H21" s="4"/>
      <c r="I21" s="4"/>
      <c r="J21" s="4"/>
      <c r="M21" s="5"/>
    </row>
    <row r="22" spans="1:13" ht="15.75" customHeight="1" x14ac:dyDescent="0.2">
      <c r="A22" s="4" t="s">
        <v>51</v>
      </c>
      <c r="B22" s="4">
        <v>7</v>
      </c>
      <c r="C22" s="4">
        <v>14</v>
      </c>
      <c r="D22" s="2">
        <v>0</v>
      </c>
      <c r="E22" s="2">
        <v>24</v>
      </c>
      <c r="F22" s="4">
        <v>0</v>
      </c>
      <c r="H22" s="4"/>
      <c r="I22" s="4"/>
      <c r="J22" s="4"/>
      <c r="M22" s="5"/>
    </row>
    <row r="23" spans="1:13" ht="15.75" customHeight="1" x14ac:dyDescent="0.2">
      <c r="A23" s="4" t="s">
        <v>52</v>
      </c>
      <c r="B23" s="4">
        <v>7</v>
      </c>
      <c r="C23" s="4">
        <v>13</v>
      </c>
      <c r="D23" s="2">
        <v>6</v>
      </c>
      <c r="E23" s="2">
        <v>18</v>
      </c>
      <c r="F23" s="4">
        <v>0</v>
      </c>
      <c r="H23" s="4"/>
      <c r="I23" s="4"/>
      <c r="J23" s="4"/>
      <c r="M23" s="5"/>
    </row>
    <row r="24" spans="1:13" ht="15.75" customHeight="1" x14ac:dyDescent="0.2">
      <c r="A24" s="4" t="s">
        <v>53</v>
      </c>
      <c r="B24" s="4">
        <v>6</v>
      </c>
      <c r="C24" s="4">
        <v>16</v>
      </c>
      <c r="D24" s="2">
        <v>-4</v>
      </c>
      <c r="E24" s="2">
        <v>18</v>
      </c>
      <c r="F24" s="4">
        <v>1</v>
      </c>
      <c r="H24" s="4"/>
      <c r="I24" s="4"/>
      <c r="J24" s="4"/>
      <c r="M24" s="5"/>
    </row>
    <row r="25" spans="1:13" ht="15.75" customHeight="1" x14ac:dyDescent="0.2">
      <c r="A25" s="4" t="s">
        <v>54</v>
      </c>
      <c r="B25" s="4">
        <v>7</v>
      </c>
      <c r="C25" s="4">
        <v>15.5</v>
      </c>
      <c r="D25" s="2">
        <v>-1</v>
      </c>
      <c r="E25" s="2">
        <v>21</v>
      </c>
      <c r="F25" s="4">
        <v>1</v>
      </c>
      <c r="H25" s="4"/>
      <c r="I25" s="4"/>
      <c r="J25" s="4"/>
      <c r="M25" s="5"/>
    </row>
    <row r="26" spans="1:13" ht="15.75" customHeight="1" x14ac:dyDescent="0.2">
      <c r="A26" s="4" t="s">
        <v>55</v>
      </c>
      <c r="B26" s="7">
        <v>1</v>
      </c>
      <c r="C26" s="7">
        <v>16</v>
      </c>
      <c r="D26" s="2">
        <v>0</v>
      </c>
      <c r="E26" s="2">
        <v>0</v>
      </c>
      <c r="F26" s="4">
        <v>1</v>
      </c>
      <c r="H26" s="4"/>
      <c r="I26" s="7"/>
      <c r="J26" s="7"/>
      <c r="M26" s="5"/>
    </row>
    <row r="27" spans="1:13" ht="15.75" customHeight="1" x14ac:dyDescent="0.2">
      <c r="A27" s="4" t="s">
        <v>59</v>
      </c>
      <c r="B27" s="7">
        <v>2</v>
      </c>
      <c r="C27" s="7">
        <v>8</v>
      </c>
      <c r="D27" s="2">
        <v>-4</v>
      </c>
      <c r="E27" s="2">
        <v>3</v>
      </c>
      <c r="F27" s="4">
        <v>1</v>
      </c>
      <c r="H27" s="4"/>
      <c r="I27" s="7"/>
      <c r="J27" s="7"/>
      <c r="M27" s="5"/>
    </row>
    <row r="28" spans="1:13" ht="15.75" customHeight="1" x14ac:dyDescent="0.2">
      <c r="A28" s="4" t="s">
        <v>63</v>
      </c>
      <c r="B28" s="7">
        <v>3</v>
      </c>
      <c r="C28" s="7">
        <v>12</v>
      </c>
      <c r="D28" s="2">
        <v>-2</v>
      </c>
      <c r="E28" s="2">
        <v>6</v>
      </c>
      <c r="F28" s="4">
        <v>1</v>
      </c>
      <c r="H28" s="4"/>
      <c r="I28" s="7"/>
      <c r="J28" s="7"/>
      <c r="M28" s="5"/>
    </row>
    <row r="29" spans="1:13" ht="15.75" customHeight="1" x14ac:dyDescent="0.2">
      <c r="A29" s="4" t="s">
        <v>67</v>
      </c>
      <c r="B29" s="7">
        <v>2.5</v>
      </c>
      <c r="C29" s="7">
        <v>14</v>
      </c>
      <c r="D29" s="2">
        <v>4</v>
      </c>
      <c r="E29" s="2">
        <v>3</v>
      </c>
      <c r="F29" s="4">
        <v>1</v>
      </c>
      <c r="H29" s="4"/>
      <c r="I29" s="7"/>
      <c r="J29" s="7"/>
      <c r="M29" s="5"/>
    </row>
    <row r="30" spans="1:13" ht="15.75" customHeight="1" x14ac:dyDescent="0.2">
      <c r="A30" s="4" t="s">
        <v>71</v>
      </c>
      <c r="B30" s="7">
        <v>4</v>
      </c>
      <c r="C30" s="7">
        <v>12</v>
      </c>
      <c r="D30" s="2">
        <v>-3</v>
      </c>
      <c r="E30" s="2">
        <v>9</v>
      </c>
      <c r="F30" s="4">
        <v>0</v>
      </c>
      <c r="H30" s="4"/>
      <c r="I30" s="7"/>
      <c r="J30" s="7"/>
      <c r="M30" s="5"/>
    </row>
    <row r="31" spans="1:13" ht="15.75" customHeight="1" x14ac:dyDescent="0.2">
      <c r="A31" s="4" t="s">
        <v>72</v>
      </c>
      <c r="B31" s="7">
        <v>1</v>
      </c>
      <c r="C31" s="7">
        <v>24</v>
      </c>
      <c r="D31" s="2">
        <v>2</v>
      </c>
      <c r="E31" s="2">
        <v>0</v>
      </c>
      <c r="F31" s="2">
        <v>1</v>
      </c>
      <c r="H31" s="4"/>
      <c r="I31" s="7"/>
      <c r="J31" s="7"/>
      <c r="M31" s="5"/>
    </row>
    <row r="32" spans="1:13" ht="15.75" customHeight="1" x14ac:dyDescent="0.2">
      <c r="A32" s="4" t="s">
        <v>75</v>
      </c>
      <c r="B32" s="7">
        <v>2</v>
      </c>
      <c r="C32" s="7">
        <v>20</v>
      </c>
      <c r="D32" s="2">
        <v>-2</v>
      </c>
      <c r="E32" s="2">
        <v>3</v>
      </c>
      <c r="F32" s="4">
        <v>0</v>
      </c>
      <c r="H32" s="4"/>
      <c r="I32" s="7"/>
      <c r="J32" s="7"/>
      <c r="M32" s="5"/>
    </row>
    <row r="33" spans="1:6" ht="15.75" customHeight="1" x14ac:dyDescent="0.2">
      <c r="A33" s="4"/>
      <c r="B33" s="4"/>
      <c r="C33" s="4"/>
      <c r="D33" s="10"/>
      <c r="E33" s="10"/>
      <c r="F33" s="4"/>
    </row>
    <row r="34" spans="1:6" ht="15.75" customHeight="1" x14ac:dyDescent="0.2">
      <c r="A34" s="4"/>
      <c r="B34" s="4"/>
      <c r="C34" s="4"/>
      <c r="D34" s="10"/>
      <c r="E34" s="10"/>
      <c r="F34" s="4"/>
    </row>
    <row r="35" spans="1:6" ht="15.75" customHeight="1" x14ac:dyDescent="0.2">
      <c r="A35" s="4"/>
      <c r="B35" s="4"/>
      <c r="C35" s="4"/>
      <c r="D35" s="10"/>
      <c r="E35" s="10"/>
      <c r="F35" s="4"/>
    </row>
    <row r="36" spans="1:6" ht="15.75" customHeight="1" x14ac:dyDescent="0.2">
      <c r="A36" s="4"/>
      <c r="B36" s="4"/>
      <c r="C36" s="4"/>
      <c r="D36" s="10"/>
      <c r="E36" s="10"/>
      <c r="F36" s="4"/>
    </row>
    <row r="37" spans="1:6" ht="15.75" customHeight="1" x14ac:dyDescent="0.2">
      <c r="A37" s="4"/>
      <c r="B37" s="4"/>
      <c r="C37" s="4"/>
      <c r="D37" s="10"/>
      <c r="E37" s="10"/>
      <c r="F37" s="4"/>
    </row>
    <row r="38" spans="1:6" ht="15.75" customHeight="1" x14ac:dyDescent="0.2">
      <c r="A38" s="4"/>
      <c r="B38" s="4"/>
      <c r="C38" s="4"/>
      <c r="D38" s="10"/>
      <c r="E38" s="10"/>
      <c r="F38" s="4"/>
    </row>
    <row r="39" spans="1:6" ht="15.75" customHeight="1" x14ac:dyDescent="0.2">
      <c r="A39" s="4"/>
      <c r="B39" s="7"/>
      <c r="C39" s="7"/>
      <c r="D39" s="10"/>
      <c r="E39" s="10"/>
      <c r="F39" s="4"/>
    </row>
    <row r="40" spans="1:6" ht="15.75" customHeight="1" x14ac:dyDescent="0.2">
      <c r="A40" s="4"/>
      <c r="B40" s="7"/>
      <c r="C40" s="7"/>
      <c r="D40" s="10"/>
      <c r="E40" s="10"/>
      <c r="F40" s="4"/>
    </row>
    <row r="41" spans="1:6" ht="15.75" customHeight="1" x14ac:dyDescent="0.2">
      <c r="A41" s="4"/>
      <c r="B41" s="4"/>
      <c r="C41" s="4"/>
      <c r="D41" s="10"/>
      <c r="E41" s="10"/>
      <c r="F41" s="4"/>
    </row>
    <row r="42" spans="1:6" ht="15.75" customHeight="1" x14ac:dyDescent="0.2">
      <c r="A42" s="4"/>
      <c r="B42" s="4"/>
      <c r="C42" s="4"/>
      <c r="D42" s="10"/>
      <c r="E42" s="10"/>
      <c r="F42" s="4"/>
    </row>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heetViews>
  <sheetFormatPr baseColWidth="10" defaultColWidth="14.5" defaultRowHeight="15" customHeight="1" x14ac:dyDescent="0.2"/>
  <cols>
    <col min="1" max="1" width="10.6640625" customWidth="1"/>
    <col min="2" max="2" width="13.83203125" customWidth="1"/>
    <col min="3" max="3" width="15" customWidth="1"/>
    <col min="4" max="7" width="10.6640625" customWidth="1"/>
    <col min="8" max="8" width="16.83203125" customWidth="1"/>
    <col min="9" max="9" width="21" customWidth="1"/>
  </cols>
  <sheetData>
    <row r="1" spans="1:9" x14ac:dyDescent="0.2">
      <c r="A1" s="5" t="s">
        <v>78</v>
      </c>
      <c r="B1" s="5" t="s">
        <v>0</v>
      </c>
      <c r="C1" s="9" t="s">
        <v>99</v>
      </c>
      <c r="D1" s="8" t="s">
        <v>126</v>
      </c>
      <c r="E1" s="8" t="s">
        <v>127</v>
      </c>
      <c r="F1" s="8" t="s">
        <v>128</v>
      </c>
      <c r="G1" s="8" t="s">
        <v>129</v>
      </c>
      <c r="H1" s="8" t="s">
        <v>130</v>
      </c>
      <c r="I1" s="8" t="s">
        <v>131</v>
      </c>
    </row>
    <row r="2" spans="1:9" x14ac:dyDescent="0.2">
      <c r="A2" s="2">
        <v>1</v>
      </c>
      <c r="B2" s="2" t="s">
        <v>6</v>
      </c>
      <c r="C2" s="2" t="s">
        <v>55</v>
      </c>
      <c r="D2" s="8">
        <f>VLOOKUP(B2,courses_program1!A:E,4,0)</f>
        <v>0</v>
      </c>
      <c r="E2" s="8">
        <f>VLOOKUP(B2,courses_program1!A:E,5,0)</f>
        <v>3</v>
      </c>
      <c r="F2" s="8">
        <f>VLOOKUP(C2,courses_program1!A:E,4,0)</f>
        <v>2</v>
      </c>
      <c r="G2" s="8">
        <f>VLOOKUP(C2,courses_program1!A:E,5,0)</f>
        <v>12</v>
      </c>
      <c r="H2" s="2">
        <v>1</v>
      </c>
      <c r="I2" s="2" t="e">
        <f t="shared" ref="I2:I55" ca="1" si="0">_xludf.CONCAT(B2, C2)</f>
        <v>#NAME?</v>
      </c>
    </row>
    <row r="3" spans="1:9" x14ac:dyDescent="0.2">
      <c r="A3" s="2">
        <v>2</v>
      </c>
      <c r="B3" s="2" t="s">
        <v>12</v>
      </c>
      <c r="C3" s="2" t="s">
        <v>72</v>
      </c>
      <c r="D3" s="8">
        <f>VLOOKUP(B3,courses_program1!A:E,4,0)</f>
        <v>2</v>
      </c>
      <c r="E3" s="8">
        <f>VLOOKUP(B3,courses_program1!A:E,5,0)</f>
        <v>3</v>
      </c>
      <c r="F3" s="8">
        <f>VLOOKUP(C3,courses_program1!A:E,4,0)</f>
        <v>0</v>
      </c>
      <c r="G3" s="8">
        <f>VLOOKUP(C3,courses_program1!A:E,5,0)</f>
        <v>18</v>
      </c>
      <c r="H3" s="2">
        <v>1</v>
      </c>
      <c r="I3" s="2" t="e">
        <f t="shared" ca="1" si="0"/>
        <v>#NAME?</v>
      </c>
    </row>
    <row r="4" spans="1:9" x14ac:dyDescent="0.2">
      <c r="A4" s="2">
        <v>4</v>
      </c>
      <c r="B4" s="2" t="s">
        <v>17</v>
      </c>
      <c r="C4" s="2" t="s">
        <v>59</v>
      </c>
      <c r="D4" s="8">
        <f>VLOOKUP(B4,courses_program1!A:E,4,0)</f>
        <v>-2</v>
      </c>
      <c r="E4" s="8">
        <f>VLOOKUP(B4,courses_program1!A:E,5,0)</f>
        <v>0</v>
      </c>
      <c r="F4" s="8">
        <f>VLOOKUP(C4,courses_program1!A:E,4,0)</f>
        <v>2</v>
      </c>
      <c r="G4" s="8">
        <f>VLOOKUP(C4,courses_program1!A:E,5,0)</f>
        <v>15</v>
      </c>
      <c r="H4" s="2">
        <v>1</v>
      </c>
      <c r="I4" s="2" t="e">
        <f t="shared" ca="1" si="0"/>
        <v>#NAME?</v>
      </c>
    </row>
    <row r="5" spans="1:9" x14ac:dyDescent="0.2">
      <c r="A5" s="2">
        <v>5</v>
      </c>
      <c r="B5" s="2" t="s">
        <v>21</v>
      </c>
      <c r="C5" s="2" t="s">
        <v>6</v>
      </c>
      <c r="D5" s="8">
        <f>VLOOKUP(B5,courses_program1!A:E,4,0)</f>
        <v>2</v>
      </c>
      <c r="E5" s="8">
        <f>VLOOKUP(B5,courses_program1!A:E,5,0)</f>
        <v>6</v>
      </c>
      <c r="F5" s="8">
        <f>VLOOKUP(C5,courses_program1!A:E,4,0)</f>
        <v>0</v>
      </c>
      <c r="G5" s="8">
        <f>VLOOKUP(C5,courses_program1!A:E,5,0)</f>
        <v>3</v>
      </c>
      <c r="H5" s="2">
        <v>1</v>
      </c>
      <c r="I5" s="2" t="e">
        <f t="shared" ca="1" si="0"/>
        <v>#NAME?</v>
      </c>
    </row>
    <row r="6" spans="1:9" x14ac:dyDescent="0.2">
      <c r="A6" s="2">
        <v>5</v>
      </c>
      <c r="B6" s="2" t="s">
        <v>21</v>
      </c>
      <c r="C6" s="2" t="s">
        <v>16</v>
      </c>
      <c r="D6" s="8">
        <f>VLOOKUP(B6,courses_program1!A:E,4,0)</f>
        <v>2</v>
      </c>
      <c r="E6" s="8">
        <f>VLOOKUP(B6,courses_program1!A:E,5,0)</f>
        <v>6</v>
      </c>
      <c r="F6" s="8" t="e">
        <f>VLOOKUP(C6,courses_program1!A:E,4,0)</f>
        <v>#N/A</v>
      </c>
      <c r="G6" s="8" t="e">
        <f>VLOOKUP(C6,courses_program1!A:E,5,0)</f>
        <v>#N/A</v>
      </c>
      <c r="H6" s="2">
        <v>0</v>
      </c>
      <c r="I6" s="2" t="e">
        <f t="shared" ca="1" si="0"/>
        <v>#NAME?</v>
      </c>
    </row>
    <row r="7" spans="1:9" x14ac:dyDescent="0.2">
      <c r="A7" s="2">
        <v>5</v>
      </c>
      <c r="B7" s="2" t="s">
        <v>21</v>
      </c>
      <c r="C7" s="2" t="s">
        <v>17</v>
      </c>
      <c r="D7" s="8">
        <f>VLOOKUP(B7,courses_program1!A:E,4,0)</f>
        <v>2</v>
      </c>
      <c r="E7" s="8">
        <f>VLOOKUP(B7,courses_program1!A:E,5,0)</f>
        <v>6</v>
      </c>
      <c r="F7" s="8">
        <f>VLOOKUP(C7,courses_program1!A:E,4,0)</f>
        <v>-2</v>
      </c>
      <c r="G7" s="8">
        <f>VLOOKUP(C7,courses_program1!A:E,5,0)</f>
        <v>0</v>
      </c>
      <c r="H7" s="2">
        <v>0</v>
      </c>
      <c r="I7" s="2" t="e">
        <f t="shared" ca="1" si="0"/>
        <v>#NAME?</v>
      </c>
    </row>
    <row r="8" spans="1:9" x14ac:dyDescent="0.2">
      <c r="A8" s="2">
        <v>6</v>
      </c>
      <c r="B8" s="2" t="s">
        <v>25</v>
      </c>
      <c r="C8" s="2" t="s">
        <v>12</v>
      </c>
      <c r="D8" s="8">
        <f>VLOOKUP(B8,courses_program1!A:E,4,0)</f>
        <v>1</v>
      </c>
      <c r="E8" s="8">
        <f>VLOOKUP(B8,courses_program1!A:E,5,0)</f>
        <v>9</v>
      </c>
      <c r="F8" s="8">
        <f>VLOOKUP(C8,courses_program1!A:E,4,0)</f>
        <v>2</v>
      </c>
      <c r="G8" s="8">
        <f>VLOOKUP(C8,courses_program1!A:E,5,0)</f>
        <v>3</v>
      </c>
      <c r="H8" s="2">
        <v>1</v>
      </c>
      <c r="I8" s="2" t="e">
        <f t="shared" ca="1" si="0"/>
        <v>#NAME?</v>
      </c>
    </row>
    <row r="9" spans="1:9" x14ac:dyDescent="0.2">
      <c r="A9" s="2">
        <v>7</v>
      </c>
      <c r="B9" s="2" t="s">
        <v>25</v>
      </c>
      <c r="C9" s="2" t="s">
        <v>55</v>
      </c>
      <c r="D9" s="8">
        <f>VLOOKUP(B9,courses_program1!A:E,4,0)</f>
        <v>1</v>
      </c>
      <c r="E9" s="8">
        <f>VLOOKUP(B9,courses_program1!A:E,5,0)</f>
        <v>9</v>
      </c>
      <c r="F9" s="8">
        <f>VLOOKUP(C9,courses_program1!A:E,4,0)</f>
        <v>2</v>
      </c>
      <c r="G9" s="8">
        <f>VLOOKUP(C9,courses_program1!A:E,5,0)</f>
        <v>12</v>
      </c>
      <c r="H9" s="2">
        <v>1</v>
      </c>
      <c r="I9" s="2" t="e">
        <f t="shared" ca="1" si="0"/>
        <v>#NAME?</v>
      </c>
    </row>
    <row r="10" spans="1:9" x14ac:dyDescent="0.2">
      <c r="A10" s="2">
        <v>8</v>
      </c>
      <c r="B10" s="2" t="s">
        <v>28</v>
      </c>
      <c r="C10" s="2" t="s">
        <v>63</v>
      </c>
      <c r="D10" s="8">
        <f>VLOOKUP(B10,courses_program1!A:E,4,0)</f>
        <v>0</v>
      </c>
      <c r="E10" s="8">
        <f>VLOOKUP(B10,courses_program1!A:E,5,0)</f>
        <v>6</v>
      </c>
      <c r="F10" s="8">
        <f>VLOOKUP(C10,courses_program1!A:E,4,0)</f>
        <v>0</v>
      </c>
      <c r="G10" s="8">
        <f>VLOOKUP(C10,courses_program1!A:E,5,0)</f>
        <v>15</v>
      </c>
      <c r="H10" s="2">
        <v>1</v>
      </c>
      <c r="I10" s="2" t="e">
        <f t="shared" ca="1" si="0"/>
        <v>#NAME?</v>
      </c>
    </row>
    <row r="11" spans="1:9" x14ac:dyDescent="0.2">
      <c r="A11" s="2">
        <v>9</v>
      </c>
      <c r="B11" s="2" t="s">
        <v>33</v>
      </c>
      <c r="C11" s="2" t="s">
        <v>6</v>
      </c>
      <c r="D11" s="8" t="e">
        <f>VLOOKUP(B11,courses_program1!A:E,4,0)</f>
        <v>#N/A</v>
      </c>
      <c r="E11" s="8" t="e">
        <f>VLOOKUP(B11,courses_program1!A:E,5,0)</f>
        <v>#N/A</v>
      </c>
      <c r="F11" s="8">
        <f>VLOOKUP(C11,courses_program1!A:E,4,0)</f>
        <v>0</v>
      </c>
      <c r="G11" s="8">
        <f>VLOOKUP(C11,courses_program1!A:E,5,0)</f>
        <v>3</v>
      </c>
      <c r="H11" s="2">
        <v>1</v>
      </c>
      <c r="I11" s="2" t="e">
        <f t="shared" ca="1" si="0"/>
        <v>#NAME?</v>
      </c>
    </row>
    <row r="12" spans="1:9" x14ac:dyDescent="0.2">
      <c r="A12" s="2">
        <v>9</v>
      </c>
      <c r="B12" s="2" t="s">
        <v>33</v>
      </c>
      <c r="C12" s="2" t="s">
        <v>16</v>
      </c>
      <c r="D12" s="8" t="e">
        <f>VLOOKUP(B12,courses_program1!A:E,4,0)</f>
        <v>#N/A</v>
      </c>
      <c r="E12" s="8" t="e">
        <f>VLOOKUP(B12,courses_program1!A:E,5,0)</f>
        <v>#N/A</v>
      </c>
      <c r="F12" s="8" t="e">
        <f>VLOOKUP(C12,courses_program1!A:E,4,0)</f>
        <v>#N/A</v>
      </c>
      <c r="G12" s="8" t="e">
        <f>VLOOKUP(C12,courses_program1!A:E,5,0)</f>
        <v>#N/A</v>
      </c>
      <c r="H12" s="2">
        <v>0</v>
      </c>
      <c r="I12" s="2" t="e">
        <f t="shared" ca="1" si="0"/>
        <v>#NAME?</v>
      </c>
    </row>
    <row r="13" spans="1:9" x14ac:dyDescent="0.2">
      <c r="A13" s="2">
        <v>9</v>
      </c>
      <c r="B13" s="2" t="s">
        <v>33</v>
      </c>
      <c r="C13" s="2" t="s">
        <v>17</v>
      </c>
      <c r="D13" s="8" t="e">
        <f>VLOOKUP(B13,courses_program1!A:E,4,0)</f>
        <v>#N/A</v>
      </c>
      <c r="E13" s="8" t="e">
        <f>VLOOKUP(B13,courses_program1!A:E,5,0)</f>
        <v>#N/A</v>
      </c>
      <c r="F13" s="8">
        <f>VLOOKUP(C13,courses_program1!A:E,4,0)</f>
        <v>-2</v>
      </c>
      <c r="G13" s="8">
        <f>VLOOKUP(C13,courses_program1!A:E,5,0)</f>
        <v>0</v>
      </c>
      <c r="H13" s="2">
        <v>0</v>
      </c>
      <c r="I13" s="2" t="e">
        <f t="shared" ca="1" si="0"/>
        <v>#NAME?</v>
      </c>
    </row>
    <row r="14" spans="1:9" x14ac:dyDescent="0.2">
      <c r="A14" s="2">
        <v>9</v>
      </c>
      <c r="B14" s="2" t="s">
        <v>33</v>
      </c>
      <c r="C14" s="2" t="s">
        <v>28</v>
      </c>
      <c r="D14" s="8" t="e">
        <f>VLOOKUP(B14,courses_program1!A:E,4,0)</f>
        <v>#N/A</v>
      </c>
      <c r="E14" s="8" t="e">
        <f>VLOOKUP(B14,courses_program1!A:E,5,0)</f>
        <v>#N/A</v>
      </c>
      <c r="F14" s="8">
        <f>VLOOKUP(C14,courses_program1!A:E,4,0)</f>
        <v>0</v>
      </c>
      <c r="G14" s="8">
        <f>VLOOKUP(C14,courses_program1!A:E,5,0)</f>
        <v>6</v>
      </c>
      <c r="H14" s="2">
        <v>1</v>
      </c>
      <c r="I14" s="2" t="e">
        <f t="shared" ca="1" si="0"/>
        <v>#NAME?</v>
      </c>
    </row>
    <row r="15" spans="1:9" x14ac:dyDescent="0.2">
      <c r="A15" s="2">
        <v>9</v>
      </c>
      <c r="B15" s="2" t="s">
        <v>33</v>
      </c>
      <c r="C15" s="2" t="s">
        <v>12</v>
      </c>
      <c r="D15" s="8" t="e">
        <f>VLOOKUP(B15,courses_program1!A:E,4,0)</f>
        <v>#N/A</v>
      </c>
      <c r="E15" s="8" t="e">
        <f>VLOOKUP(B15,courses_program1!A:E,5,0)</f>
        <v>#N/A</v>
      </c>
      <c r="F15" s="8">
        <f>VLOOKUP(C15,courses_program1!A:E,4,0)</f>
        <v>2</v>
      </c>
      <c r="G15" s="8">
        <f>VLOOKUP(C15,courses_program1!A:E,5,0)</f>
        <v>3</v>
      </c>
      <c r="H15" s="2">
        <v>1</v>
      </c>
      <c r="I15" s="2" t="e">
        <f t="shared" ca="1" si="0"/>
        <v>#NAME?</v>
      </c>
    </row>
    <row r="16" spans="1:9" x14ac:dyDescent="0.2">
      <c r="A16" s="2">
        <v>9</v>
      </c>
      <c r="B16" s="2" t="s">
        <v>33</v>
      </c>
      <c r="C16" s="2" t="s">
        <v>75</v>
      </c>
      <c r="D16" s="8" t="e">
        <f>VLOOKUP(B16,courses_program1!A:E,4,0)</f>
        <v>#N/A</v>
      </c>
      <c r="E16" s="8" t="e">
        <f>VLOOKUP(B16,courses_program1!A:E,5,0)</f>
        <v>#N/A</v>
      </c>
      <c r="F16" s="8">
        <f>VLOOKUP(C16,courses_program1!A:E,4,0)</f>
        <v>1</v>
      </c>
      <c r="G16" s="8">
        <f>VLOOKUP(C16,courses_program1!A:E,5,0)</f>
        <v>21</v>
      </c>
      <c r="H16" s="2">
        <v>1</v>
      </c>
      <c r="I16" s="2" t="e">
        <f t="shared" ca="1" si="0"/>
        <v>#NAME?</v>
      </c>
    </row>
    <row r="17" spans="1:9" x14ac:dyDescent="0.2">
      <c r="A17" s="2">
        <v>10</v>
      </c>
      <c r="B17" s="2" t="s">
        <v>34</v>
      </c>
      <c r="C17" s="2" t="s">
        <v>67</v>
      </c>
      <c r="D17" s="8">
        <f>VLOOKUP(B17,courses_program1!A:E,4,0)</f>
        <v>-1</v>
      </c>
      <c r="E17" s="8">
        <f>VLOOKUP(B17,courses_program1!A:E,5,0)</f>
        <v>9</v>
      </c>
      <c r="F17" s="8">
        <f>VLOOKUP(C17,courses_program1!A:E,4,0)</f>
        <v>0</v>
      </c>
      <c r="G17" s="8">
        <f>VLOOKUP(C17,courses_program1!A:E,5,0)</f>
        <v>12</v>
      </c>
      <c r="H17" s="2">
        <v>1</v>
      </c>
      <c r="I17" s="2" t="e">
        <f t="shared" ca="1" si="0"/>
        <v>#NAME?</v>
      </c>
    </row>
    <row r="18" spans="1:9" x14ac:dyDescent="0.2">
      <c r="A18" s="2">
        <v>11</v>
      </c>
      <c r="B18" s="2" t="s">
        <v>34</v>
      </c>
      <c r="C18" s="2" t="s">
        <v>6</v>
      </c>
      <c r="D18" s="8">
        <f>VLOOKUP(B18,courses_program1!A:E,4,0)</f>
        <v>-1</v>
      </c>
      <c r="E18" s="8">
        <f>VLOOKUP(B18,courses_program1!A:E,5,0)</f>
        <v>9</v>
      </c>
      <c r="F18" s="8">
        <f>VLOOKUP(C18,courses_program1!A:E,4,0)</f>
        <v>0</v>
      </c>
      <c r="G18" s="8">
        <f>VLOOKUP(C18,courses_program1!A:E,5,0)</f>
        <v>3</v>
      </c>
      <c r="H18" s="2">
        <v>1</v>
      </c>
      <c r="I18" s="2" t="e">
        <f t="shared" ca="1" si="0"/>
        <v>#NAME?</v>
      </c>
    </row>
    <row r="19" spans="1:9" x14ac:dyDescent="0.2">
      <c r="A19" s="2">
        <v>11</v>
      </c>
      <c r="B19" s="2" t="s">
        <v>34</v>
      </c>
      <c r="C19" s="2" t="s">
        <v>17</v>
      </c>
      <c r="D19" s="8">
        <f>VLOOKUP(B19,courses_program1!A:E,4,0)</f>
        <v>-1</v>
      </c>
      <c r="E19" s="8">
        <f>VLOOKUP(B19,courses_program1!A:E,5,0)</f>
        <v>9</v>
      </c>
      <c r="F19" s="8">
        <f>VLOOKUP(C19,courses_program1!A:E,4,0)</f>
        <v>-2</v>
      </c>
      <c r="G19" s="8">
        <f>VLOOKUP(C19,courses_program1!A:E,5,0)</f>
        <v>0</v>
      </c>
      <c r="H19" s="2">
        <v>0</v>
      </c>
      <c r="I19" s="2" t="e">
        <f t="shared" ca="1" si="0"/>
        <v>#NAME?</v>
      </c>
    </row>
    <row r="20" spans="1:9" x14ac:dyDescent="0.2">
      <c r="A20" s="2">
        <v>11</v>
      </c>
      <c r="B20" s="2" t="s">
        <v>34</v>
      </c>
      <c r="C20" s="2" t="s">
        <v>21</v>
      </c>
      <c r="D20" s="8">
        <f>VLOOKUP(B20,courses_program1!A:E,4,0)</f>
        <v>-1</v>
      </c>
      <c r="E20" s="8">
        <f>VLOOKUP(B20,courses_program1!A:E,5,0)</f>
        <v>9</v>
      </c>
      <c r="F20" s="8">
        <f>VLOOKUP(C20,courses_program1!A:E,4,0)</f>
        <v>2</v>
      </c>
      <c r="G20" s="8">
        <f>VLOOKUP(C20,courses_program1!A:E,5,0)</f>
        <v>6</v>
      </c>
      <c r="H20" s="2">
        <v>0</v>
      </c>
      <c r="I20" s="2" t="e">
        <f t="shared" ca="1" si="0"/>
        <v>#NAME?</v>
      </c>
    </row>
    <row r="21" spans="1:9" ht="15.75" customHeight="1" x14ac:dyDescent="0.2">
      <c r="A21" s="2">
        <v>12</v>
      </c>
      <c r="B21" s="2" t="s">
        <v>34</v>
      </c>
      <c r="C21" s="2" t="s">
        <v>28</v>
      </c>
      <c r="D21" s="8">
        <f>VLOOKUP(B21,courses_program1!A:E,4,0)</f>
        <v>-1</v>
      </c>
      <c r="E21" s="8">
        <f>VLOOKUP(B21,courses_program1!A:E,5,0)</f>
        <v>9</v>
      </c>
      <c r="F21" s="8">
        <f>VLOOKUP(C21,courses_program1!A:E,4,0)</f>
        <v>0</v>
      </c>
      <c r="G21" s="8">
        <f>VLOOKUP(C21,courses_program1!A:E,5,0)</f>
        <v>6</v>
      </c>
      <c r="H21" s="2">
        <v>1</v>
      </c>
      <c r="I21" s="2" t="e">
        <f t="shared" ca="1" si="0"/>
        <v>#NAME?</v>
      </c>
    </row>
    <row r="22" spans="1:9" ht="15.75" customHeight="1" x14ac:dyDescent="0.2">
      <c r="A22" s="2">
        <v>13</v>
      </c>
      <c r="B22" s="2" t="s">
        <v>38</v>
      </c>
      <c r="C22" s="2" t="s">
        <v>34</v>
      </c>
      <c r="D22" s="8" t="e">
        <f>VLOOKUP(B22,courses_program1!A:E,4,0)</f>
        <v>#N/A</v>
      </c>
      <c r="E22" s="8" t="e">
        <f>VLOOKUP(B22,courses_program1!A:E,5,0)</f>
        <v>#N/A</v>
      </c>
      <c r="F22" s="8">
        <f>VLOOKUP(C22,courses_program1!A:E,4,0)</f>
        <v>-1</v>
      </c>
      <c r="G22" s="8">
        <f>VLOOKUP(C22,courses_program1!A:E,5,0)</f>
        <v>9</v>
      </c>
      <c r="H22" s="2">
        <v>1</v>
      </c>
      <c r="I22" s="2" t="e">
        <f t="shared" ca="1" si="0"/>
        <v>#NAME?</v>
      </c>
    </row>
    <row r="23" spans="1:9" ht="15.75" customHeight="1" x14ac:dyDescent="0.2">
      <c r="A23" s="2">
        <v>14</v>
      </c>
      <c r="B23" s="2" t="s">
        <v>40</v>
      </c>
      <c r="C23" s="2" t="s">
        <v>33</v>
      </c>
      <c r="D23" s="8" t="e">
        <f>VLOOKUP(B23,courses_program1!A:E,4,0)</f>
        <v>#N/A</v>
      </c>
      <c r="E23" s="8" t="e">
        <f>VLOOKUP(B23,courses_program1!A:E,5,0)</f>
        <v>#N/A</v>
      </c>
      <c r="F23" s="8" t="e">
        <f>VLOOKUP(C23,courses_program1!A:E,4,0)</f>
        <v>#N/A</v>
      </c>
      <c r="G23" s="8" t="e">
        <f>VLOOKUP(C23,courses_program1!A:E,5,0)</f>
        <v>#N/A</v>
      </c>
      <c r="H23" s="2">
        <v>1</v>
      </c>
      <c r="I23" s="2" t="e">
        <f t="shared" ca="1" si="0"/>
        <v>#NAME?</v>
      </c>
    </row>
    <row r="24" spans="1:9" ht="15.75" customHeight="1" x14ac:dyDescent="0.2">
      <c r="A24" s="2">
        <v>15</v>
      </c>
      <c r="B24" s="2" t="s">
        <v>41</v>
      </c>
      <c r="C24" s="2" t="s">
        <v>6</v>
      </c>
      <c r="D24" s="8" t="e">
        <f>VLOOKUP(B24,courses_program1!A:E,4,0)</f>
        <v>#N/A</v>
      </c>
      <c r="E24" s="8" t="e">
        <f>VLOOKUP(B24,courses_program1!A:E,5,0)</f>
        <v>#N/A</v>
      </c>
      <c r="F24" s="8">
        <f>VLOOKUP(C24,courses_program1!A:E,4,0)</f>
        <v>0</v>
      </c>
      <c r="G24" s="8">
        <f>VLOOKUP(C24,courses_program1!A:E,5,0)</f>
        <v>3</v>
      </c>
      <c r="H24" s="2">
        <v>1</v>
      </c>
      <c r="I24" s="2" t="e">
        <f t="shared" ca="1" si="0"/>
        <v>#NAME?</v>
      </c>
    </row>
    <row r="25" spans="1:9" ht="15.75" customHeight="1" x14ac:dyDescent="0.2">
      <c r="A25" s="2">
        <v>15</v>
      </c>
      <c r="B25" s="2" t="s">
        <v>41</v>
      </c>
      <c r="C25" s="2" t="s">
        <v>17</v>
      </c>
      <c r="D25" s="8" t="e">
        <f>VLOOKUP(B25,courses_program1!A:E,4,0)</f>
        <v>#N/A</v>
      </c>
      <c r="E25" s="8" t="e">
        <f>VLOOKUP(B25,courses_program1!A:E,5,0)</f>
        <v>#N/A</v>
      </c>
      <c r="F25" s="8">
        <f>VLOOKUP(C25,courses_program1!A:E,4,0)</f>
        <v>-2</v>
      </c>
      <c r="G25" s="8">
        <f>VLOOKUP(C25,courses_program1!A:E,5,0)</f>
        <v>0</v>
      </c>
      <c r="H25" s="2">
        <v>0</v>
      </c>
      <c r="I25" s="2" t="e">
        <f t="shared" ca="1" si="0"/>
        <v>#NAME?</v>
      </c>
    </row>
    <row r="26" spans="1:9" ht="15.75" customHeight="1" x14ac:dyDescent="0.2">
      <c r="A26" s="2">
        <v>16</v>
      </c>
      <c r="B26" s="2" t="s">
        <v>42</v>
      </c>
      <c r="C26" s="2" t="s">
        <v>6</v>
      </c>
      <c r="D26" s="8" t="e">
        <f>VLOOKUP(B26,courses_program1!A:E,4,0)</f>
        <v>#N/A</v>
      </c>
      <c r="E26" s="8" t="e">
        <f>VLOOKUP(B26,courses_program1!A:E,5,0)</f>
        <v>#N/A</v>
      </c>
      <c r="F26" s="8">
        <f>VLOOKUP(C26,courses_program1!A:E,4,0)</f>
        <v>0</v>
      </c>
      <c r="G26" s="8">
        <f>VLOOKUP(C26,courses_program1!A:E,5,0)</f>
        <v>3</v>
      </c>
      <c r="H26" s="2">
        <v>1</v>
      </c>
      <c r="I26" s="2" t="e">
        <f t="shared" ca="1" si="0"/>
        <v>#NAME?</v>
      </c>
    </row>
    <row r="27" spans="1:9" ht="15.75" customHeight="1" x14ac:dyDescent="0.2">
      <c r="A27" s="2">
        <v>16</v>
      </c>
      <c r="B27" s="2" t="s">
        <v>42</v>
      </c>
      <c r="C27" s="2" t="s">
        <v>17</v>
      </c>
      <c r="D27" s="8" t="e">
        <f>VLOOKUP(B27,courses_program1!A:E,4,0)</f>
        <v>#N/A</v>
      </c>
      <c r="E27" s="8" t="e">
        <f>VLOOKUP(B27,courses_program1!A:E,5,0)</f>
        <v>#N/A</v>
      </c>
      <c r="F27" s="8">
        <f>VLOOKUP(C27,courses_program1!A:E,4,0)</f>
        <v>-2</v>
      </c>
      <c r="G27" s="8">
        <f>VLOOKUP(C27,courses_program1!A:E,5,0)</f>
        <v>0</v>
      </c>
      <c r="H27" s="2">
        <v>0</v>
      </c>
      <c r="I27" s="2" t="e">
        <f t="shared" ca="1" si="0"/>
        <v>#NAME?</v>
      </c>
    </row>
    <row r="28" spans="1:9" ht="15.75" customHeight="1" x14ac:dyDescent="0.2">
      <c r="A28" s="2">
        <v>17</v>
      </c>
      <c r="B28" s="2" t="s">
        <v>42</v>
      </c>
      <c r="C28" s="2" t="s">
        <v>28</v>
      </c>
      <c r="D28" s="8" t="e">
        <f>VLOOKUP(B28,courses_program1!A:E,4,0)</f>
        <v>#N/A</v>
      </c>
      <c r="E28" s="8" t="e">
        <f>VLOOKUP(B28,courses_program1!A:E,5,0)</f>
        <v>#N/A</v>
      </c>
      <c r="F28" s="8">
        <f>VLOOKUP(C28,courses_program1!A:E,4,0)</f>
        <v>0</v>
      </c>
      <c r="G28" s="8">
        <f>VLOOKUP(C28,courses_program1!A:E,5,0)</f>
        <v>6</v>
      </c>
      <c r="H28" s="2">
        <v>1</v>
      </c>
      <c r="I28" s="2" t="e">
        <f t="shared" ca="1" si="0"/>
        <v>#NAME?</v>
      </c>
    </row>
    <row r="29" spans="1:9" ht="15.75" customHeight="1" x14ac:dyDescent="0.2">
      <c r="A29" s="2">
        <v>18</v>
      </c>
      <c r="B29" s="2" t="s">
        <v>43</v>
      </c>
      <c r="C29" s="2" t="s">
        <v>33</v>
      </c>
      <c r="D29" s="8" t="e">
        <f>VLOOKUP(B29,courses_program1!A:E,4,0)</f>
        <v>#N/A</v>
      </c>
      <c r="E29" s="8" t="e">
        <f>VLOOKUP(B29,courses_program1!A:E,5,0)</f>
        <v>#N/A</v>
      </c>
      <c r="F29" s="8" t="e">
        <f>VLOOKUP(C29,courses_program1!A:E,4,0)</f>
        <v>#N/A</v>
      </c>
      <c r="G29" s="8" t="e">
        <f>VLOOKUP(C29,courses_program1!A:E,5,0)</f>
        <v>#N/A</v>
      </c>
      <c r="H29" s="2">
        <v>1</v>
      </c>
      <c r="I29" s="2" t="e">
        <f t="shared" ca="1" si="0"/>
        <v>#NAME?</v>
      </c>
    </row>
    <row r="30" spans="1:9" ht="15.75" customHeight="1" x14ac:dyDescent="0.2">
      <c r="A30" s="2">
        <v>19</v>
      </c>
      <c r="B30" s="2" t="s">
        <v>43</v>
      </c>
      <c r="C30" s="2" t="s">
        <v>67</v>
      </c>
      <c r="D30" s="8" t="e">
        <f>VLOOKUP(B30,courses_program1!A:E,4,0)</f>
        <v>#N/A</v>
      </c>
      <c r="E30" s="8" t="e">
        <f>VLOOKUP(B30,courses_program1!A:E,5,0)</f>
        <v>#N/A</v>
      </c>
      <c r="F30" s="8">
        <f>VLOOKUP(C30,courses_program1!A:E,4,0)</f>
        <v>0</v>
      </c>
      <c r="G30" s="8">
        <f>VLOOKUP(C30,courses_program1!A:E,5,0)</f>
        <v>12</v>
      </c>
      <c r="H30" s="2">
        <v>1</v>
      </c>
      <c r="I30" s="2" t="e">
        <f t="shared" ca="1" si="0"/>
        <v>#NAME?</v>
      </c>
    </row>
    <row r="31" spans="1:9" ht="15.75" customHeight="1" x14ac:dyDescent="0.2">
      <c r="A31" s="2">
        <v>20</v>
      </c>
      <c r="B31" s="2" t="s">
        <v>43</v>
      </c>
      <c r="C31" s="2" t="s">
        <v>34</v>
      </c>
      <c r="D31" s="8" t="e">
        <f>VLOOKUP(B31,courses_program1!A:E,4,0)</f>
        <v>#N/A</v>
      </c>
      <c r="E31" s="8" t="e">
        <f>VLOOKUP(B31,courses_program1!A:E,5,0)</f>
        <v>#N/A</v>
      </c>
      <c r="F31" s="8">
        <f>VLOOKUP(C31,courses_program1!A:E,4,0)</f>
        <v>-1</v>
      </c>
      <c r="G31" s="8">
        <f>VLOOKUP(C31,courses_program1!A:E,5,0)</f>
        <v>9</v>
      </c>
      <c r="H31" s="2">
        <v>1</v>
      </c>
      <c r="I31" s="2" t="e">
        <f t="shared" ca="1" si="0"/>
        <v>#NAME?</v>
      </c>
    </row>
    <row r="32" spans="1:9" ht="15.75" customHeight="1" x14ac:dyDescent="0.2">
      <c r="A32" s="2">
        <v>21</v>
      </c>
      <c r="B32" s="2" t="s">
        <v>44</v>
      </c>
      <c r="C32" s="2" t="s">
        <v>28</v>
      </c>
      <c r="D32" s="8" t="e">
        <f>VLOOKUP(B32,courses_program1!A:E,4,0)</f>
        <v>#N/A</v>
      </c>
      <c r="E32" s="8" t="e">
        <f>VLOOKUP(B32,courses_program1!A:E,5,0)</f>
        <v>#N/A</v>
      </c>
      <c r="F32" s="8">
        <f>VLOOKUP(C32,courses_program1!A:E,4,0)</f>
        <v>0</v>
      </c>
      <c r="G32" s="8">
        <f>VLOOKUP(C32,courses_program1!A:E,5,0)</f>
        <v>6</v>
      </c>
      <c r="H32" s="2">
        <v>1</v>
      </c>
      <c r="I32" s="2" t="e">
        <f t="shared" ca="1" si="0"/>
        <v>#NAME?</v>
      </c>
    </row>
    <row r="33" spans="1:9" ht="15.75" customHeight="1" x14ac:dyDescent="0.2">
      <c r="A33" s="2">
        <v>22</v>
      </c>
      <c r="B33" s="2" t="s">
        <v>44</v>
      </c>
      <c r="C33" s="2" t="s">
        <v>33</v>
      </c>
      <c r="D33" s="8" t="e">
        <f>VLOOKUP(B33,courses_program1!A:E,4,0)</f>
        <v>#N/A</v>
      </c>
      <c r="E33" s="8" t="e">
        <f>VLOOKUP(B33,courses_program1!A:E,5,0)</f>
        <v>#N/A</v>
      </c>
      <c r="F33" s="8" t="e">
        <f>VLOOKUP(C33,courses_program1!A:E,4,0)</f>
        <v>#N/A</v>
      </c>
      <c r="G33" s="8" t="e">
        <f>VLOOKUP(C33,courses_program1!A:E,5,0)</f>
        <v>#N/A</v>
      </c>
      <c r="H33" s="2">
        <v>1</v>
      </c>
      <c r="I33" s="2" t="e">
        <f t="shared" ca="1" si="0"/>
        <v>#NAME?</v>
      </c>
    </row>
    <row r="34" spans="1:9" ht="15.75" customHeight="1" x14ac:dyDescent="0.2">
      <c r="A34" s="2">
        <v>22</v>
      </c>
      <c r="B34" s="2" t="s">
        <v>44</v>
      </c>
      <c r="C34" s="2" t="s">
        <v>53</v>
      </c>
      <c r="D34" s="8" t="e">
        <f>VLOOKUP(B34,courses_program1!A:E,4,0)</f>
        <v>#N/A</v>
      </c>
      <c r="E34" s="8" t="e">
        <f>VLOOKUP(B34,courses_program1!A:E,5,0)</f>
        <v>#N/A</v>
      </c>
      <c r="F34" s="8" t="e">
        <f>VLOOKUP(C34,courses_program1!A:E,4,0)</f>
        <v>#N/A</v>
      </c>
      <c r="G34" s="8" t="e">
        <f>VLOOKUP(C34,courses_program1!A:E,5,0)</f>
        <v>#N/A</v>
      </c>
      <c r="H34" s="2">
        <v>0</v>
      </c>
      <c r="I34" s="2" t="e">
        <f t="shared" ca="1" si="0"/>
        <v>#NAME?</v>
      </c>
    </row>
    <row r="35" spans="1:9" ht="15.75" customHeight="1" x14ac:dyDescent="0.2">
      <c r="A35" s="2">
        <v>23</v>
      </c>
      <c r="B35" s="2" t="s">
        <v>45</v>
      </c>
      <c r="C35" s="2" t="s">
        <v>34</v>
      </c>
      <c r="D35" s="8">
        <f>VLOOKUP(B35,courses_program1!A:E,4,0)</f>
        <v>-2</v>
      </c>
      <c r="E35" s="8">
        <f>VLOOKUP(B35,courses_program1!A:E,5,0)</f>
        <v>12</v>
      </c>
      <c r="F35" s="8">
        <f>VLOOKUP(C35,courses_program1!A:E,4,0)</f>
        <v>-1</v>
      </c>
      <c r="G35" s="8">
        <f>VLOOKUP(C35,courses_program1!A:E,5,0)</f>
        <v>9</v>
      </c>
      <c r="H35" s="2">
        <v>1</v>
      </c>
      <c r="I35" s="2" t="e">
        <f t="shared" ca="1" si="0"/>
        <v>#NAME?</v>
      </c>
    </row>
    <row r="36" spans="1:9" ht="15.75" customHeight="1" x14ac:dyDescent="0.2">
      <c r="A36" s="2">
        <v>23</v>
      </c>
      <c r="B36" s="2" t="s">
        <v>45</v>
      </c>
      <c r="C36" s="2" t="s">
        <v>25</v>
      </c>
      <c r="D36" s="8">
        <f>VLOOKUP(B36,courses_program1!A:E,4,0)</f>
        <v>-2</v>
      </c>
      <c r="E36" s="8">
        <f>VLOOKUP(B36,courses_program1!A:E,5,0)</f>
        <v>12</v>
      </c>
      <c r="F36" s="8">
        <f>VLOOKUP(C36,courses_program1!A:E,4,0)</f>
        <v>1</v>
      </c>
      <c r="G36" s="8">
        <f>VLOOKUP(C36,courses_program1!A:E,5,0)</f>
        <v>9</v>
      </c>
      <c r="H36" s="2">
        <v>0</v>
      </c>
      <c r="I36" s="2" t="e">
        <f t="shared" ca="1" si="0"/>
        <v>#NAME?</v>
      </c>
    </row>
    <row r="37" spans="1:9" ht="15.75" customHeight="1" x14ac:dyDescent="0.2">
      <c r="A37" s="2">
        <v>23</v>
      </c>
      <c r="B37" s="2" t="s">
        <v>45</v>
      </c>
      <c r="C37" s="2" t="s">
        <v>67</v>
      </c>
      <c r="D37" s="8">
        <f>VLOOKUP(B37,courses_program1!A:E,4,0)</f>
        <v>-2</v>
      </c>
      <c r="E37" s="8">
        <f>VLOOKUP(B37,courses_program1!A:E,5,0)</f>
        <v>12</v>
      </c>
      <c r="F37" s="8">
        <f>VLOOKUP(C37,courses_program1!A:E,4,0)</f>
        <v>0</v>
      </c>
      <c r="G37" s="8">
        <f>VLOOKUP(C37,courses_program1!A:E,5,0)</f>
        <v>12</v>
      </c>
      <c r="H37" s="2">
        <v>1</v>
      </c>
      <c r="I37" s="2" t="e">
        <f t="shared" ca="1" si="0"/>
        <v>#NAME?</v>
      </c>
    </row>
    <row r="38" spans="1:9" ht="15.75" customHeight="1" x14ac:dyDescent="0.2">
      <c r="A38" s="2">
        <v>23</v>
      </c>
      <c r="B38" s="2" t="s">
        <v>45</v>
      </c>
      <c r="C38" s="2" t="s">
        <v>28</v>
      </c>
      <c r="D38" s="8">
        <f>VLOOKUP(B38,courses_program1!A:E,4,0)</f>
        <v>-2</v>
      </c>
      <c r="E38" s="8">
        <f>VLOOKUP(B38,courses_program1!A:E,5,0)</f>
        <v>12</v>
      </c>
      <c r="F38" s="8">
        <f>VLOOKUP(C38,courses_program1!A:E,4,0)</f>
        <v>0</v>
      </c>
      <c r="G38" s="8">
        <f>VLOOKUP(C38,courses_program1!A:E,5,0)</f>
        <v>6</v>
      </c>
      <c r="H38" s="2">
        <v>1</v>
      </c>
      <c r="I38" s="2" t="e">
        <f t="shared" ca="1" si="0"/>
        <v>#NAME?</v>
      </c>
    </row>
    <row r="39" spans="1:9" ht="15.75" customHeight="1" x14ac:dyDescent="0.2">
      <c r="A39" s="2">
        <v>24</v>
      </c>
      <c r="B39" s="2" t="s">
        <v>48</v>
      </c>
      <c r="C39" s="2" t="s">
        <v>28</v>
      </c>
      <c r="D39" s="8" t="e">
        <f>VLOOKUP(B39,courses_program1!A:E,4,0)</f>
        <v>#N/A</v>
      </c>
      <c r="E39" s="8" t="e">
        <f>VLOOKUP(B39,courses_program1!A:E,5,0)</f>
        <v>#N/A</v>
      </c>
      <c r="F39" s="8">
        <f>VLOOKUP(C39,courses_program1!A:E,4,0)</f>
        <v>0</v>
      </c>
      <c r="G39" s="8">
        <f>VLOOKUP(C39,courses_program1!A:E,5,0)</f>
        <v>6</v>
      </c>
      <c r="H39" s="2">
        <v>1</v>
      </c>
      <c r="I39" s="2" t="e">
        <f t="shared" ca="1" si="0"/>
        <v>#NAME?</v>
      </c>
    </row>
    <row r="40" spans="1:9" ht="15.75" customHeight="1" x14ac:dyDescent="0.2">
      <c r="A40" s="2">
        <v>25</v>
      </c>
      <c r="B40" s="2" t="s">
        <v>48</v>
      </c>
      <c r="C40" s="2" t="s">
        <v>6</v>
      </c>
      <c r="D40" s="8" t="e">
        <f>VLOOKUP(B40,courses_program1!A:E,4,0)</f>
        <v>#N/A</v>
      </c>
      <c r="E40" s="8" t="e">
        <f>VLOOKUP(B40,courses_program1!A:E,5,0)</f>
        <v>#N/A</v>
      </c>
      <c r="F40" s="8">
        <f>VLOOKUP(C40,courses_program1!A:E,4,0)</f>
        <v>0</v>
      </c>
      <c r="G40" s="8">
        <f>VLOOKUP(C40,courses_program1!A:E,5,0)</f>
        <v>3</v>
      </c>
      <c r="H40" s="2">
        <v>1</v>
      </c>
      <c r="I40" s="2" t="e">
        <f t="shared" ca="1" si="0"/>
        <v>#NAME?</v>
      </c>
    </row>
    <row r="41" spans="1:9" ht="15.75" customHeight="1" x14ac:dyDescent="0.2">
      <c r="A41" s="2">
        <v>25</v>
      </c>
      <c r="B41" s="2" t="s">
        <v>48</v>
      </c>
      <c r="C41" s="2" t="s">
        <v>17</v>
      </c>
      <c r="D41" s="8" t="e">
        <f>VLOOKUP(B41,courses_program1!A:E,4,0)</f>
        <v>#N/A</v>
      </c>
      <c r="E41" s="8" t="e">
        <f>VLOOKUP(B41,courses_program1!A:E,5,0)</f>
        <v>#N/A</v>
      </c>
      <c r="F41" s="8">
        <f>VLOOKUP(C41,courses_program1!A:E,4,0)</f>
        <v>-2</v>
      </c>
      <c r="G41" s="8">
        <f>VLOOKUP(C41,courses_program1!A:E,5,0)</f>
        <v>0</v>
      </c>
      <c r="H41" s="2">
        <v>0</v>
      </c>
      <c r="I41" s="2" t="e">
        <f t="shared" ca="1" si="0"/>
        <v>#NAME?</v>
      </c>
    </row>
    <row r="42" spans="1:9" ht="15.75" customHeight="1" x14ac:dyDescent="0.2">
      <c r="A42" s="2">
        <v>25</v>
      </c>
      <c r="B42" s="2" t="s">
        <v>48</v>
      </c>
      <c r="C42" s="2" t="s">
        <v>21</v>
      </c>
      <c r="D42" s="8" t="e">
        <f>VLOOKUP(B42,courses_program1!A:E,4,0)</f>
        <v>#N/A</v>
      </c>
      <c r="E42" s="8" t="e">
        <f>VLOOKUP(B42,courses_program1!A:E,5,0)</f>
        <v>#N/A</v>
      </c>
      <c r="F42" s="8">
        <f>VLOOKUP(C42,courses_program1!A:E,4,0)</f>
        <v>2</v>
      </c>
      <c r="G42" s="8">
        <f>VLOOKUP(C42,courses_program1!A:E,5,0)</f>
        <v>6</v>
      </c>
      <c r="H42" s="2">
        <v>0</v>
      </c>
      <c r="I42" s="2" t="e">
        <f t="shared" ca="1" si="0"/>
        <v>#NAME?</v>
      </c>
    </row>
    <row r="43" spans="1:9" ht="15.75" customHeight="1" x14ac:dyDescent="0.2">
      <c r="A43" s="2">
        <v>26</v>
      </c>
      <c r="B43" s="2" t="s">
        <v>48</v>
      </c>
      <c r="C43" s="2" t="s">
        <v>33</v>
      </c>
      <c r="D43" s="8" t="e">
        <f>VLOOKUP(B43,courses_program1!A:E,4,0)</f>
        <v>#N/A</v>
      </c>
      <c r="E43" s="8" t="e">
        <f>VLOOKUP(B43,courses_program1!A:E,5,0)</f>
        <v>#N/A</v>
      </c>
      <c r="F43" s="8" t="e">
        <f>VLOOKUP(C43,courses_program1!A:E,4,0)</f>
        <v>#N/A</v>
      </c>
      <c r="G43" s="8" t="e">
        <f>VLOOKUP(C43,courses_program1!A:E,5,0)</f>
        <v>#N/A</v>
      </c>
      <c r="H43" s="2">
        <v>1</v>
      </c>
      <c r="I43" s="2" t="e">
        <f t="shared" ca="1" si="0"/>
        <v>#NAME?</v>
      </c>
    </row>
    <row r="44" spans="1:9" ht="15.75" customHeight="1" x14ac:dyDescent="0.2">
      <c r="A44" s="2">
        <v>27</v>
      </c>
      <c r="B44" s="2" t="s">
        <v>49</v>
      </c>
      <c r="C44" s="2" t="s">
        <v>34</v>
      </c>
      <c r="D44" s="8" t="e">
        <f>VLOOKUP(B44,courses_program1!A:E,4,0)</f>
        <v>#N/A</v>
      </c>
      <c r="E44" s="8" t="e">
        <f>VLOOKUP(B44,courses_program1!A:E,5,0)</f>
        <v>#N/A</v>
      </c>
      <c r="F44" s="8">
        <f>VLOOKUP(C44,courses_program1!A:E,4,0)</f>
        <v>-1</v>
      </c>
      <c r="G44" s="8">
        <f>VLOOKUP(C44,courses_program1!A:E,5,0)</f>
        <v>9</v>
      </c>
      <c r="H44" s="2">
        <v>1</v>
      </c>
      <c r="I44" s="2" t="e">
        <f t="shared" ca="1" si="0"/>
        <v>#NAME?</v>
      </c>
    </row>
    <row r="45" spans="1:9" ht="15.75" customHeight="1" x14ac:dyDescent="0.2">
      <c r="A45" s="2">
        <v>28</v>
      </c>
      <c r="B45" s="2" t="s">
        <v>50</v>
      </c>
      <c r="C45" s="2" t="s">
        <v>33</v>
      </c>
      <c r="D45" s="8" t="e">
        <f>VLOOKUP(B45,courses_program1!A:E,4,0)</f>
        <v>#N/A</v>
      </c>
      <c r="E45" s="8" t="e">
        <f>VLOOKUP(B45,courses_program1!A:E,5,0)</f>
        <v>#N/A</v>
      </c>
      <c r="F45" s="8" t="e">
        <f>VLOOKUP(C45,courses_program1!A:E,4,0)</f>
        <v>#N/A</v>
      </c>
      <c r="G45" s="8" t="e">
        <f>VLOOKUP(C45,courses_program1!A:E,5,0)</f>
        <v>#N/A</v>
      </c>
      <c r="H45" s="2">
        <v>1</v>
      </c>
      <c r="I45" s="2" t="e">
        <f t="shared" ca="1" si="0"/>
        <v>#NAME?</v>
      </c>
    </row>
    <row r="46" spans="1:9" ht="15.75" customHeight="1" x14ac:dyDescent="0.2">
      <c r="A46" s="2">
        <v>30</v>
      </c>
      <c r="B46" s="2" t="s">
        <v>52</v>
      </c>
      <c r="C46" s="2" t="s">
        <v>34</v>
      </c>
      <c r="D46" s="8" t="e">
        <f>VLOOKUP(B46,courses_program1!A:E,4,0)</f>
        <v>#N/A</v>
      </c>
      <c r="E46" s="8" t="e">
        <f>VLOOKUP(B46,courses_program1!A:E,5,0)</f>
        <v>#N/A</v>
      </c>
      <c r="F46" s="8">
        <f>VLOOKUP(C46,courses_program1!A:E,4,0)</f>
        <v>-1</v>
      </c>
      <c r="G46" s="8">
        <f>VLOOKUP(C46,courses_program1!A:E,5,0)</f>
        <v>9</v>
      </c>
      <c r="H46" s="2">
        <v>1</v>
      </c>
      <c r="I46" s="2" t="e">
        <f t="shared" ca="1" si="0"/>
        <v>#NAME?</v>
      </c>
    </row>
    <row r="47" spans="1:9" ht="15.75" customHeight="1" x14ac:dyDescent="0.2">
      <c r="A47" s="2">
        <v>31</v>
      </c>
      <c r="B47" s="2" t="s">
        <v>53</v>
      </c>
      <c r="C47" s="2" t="s">
        <v>71</v>
      </c>
      <c r="D47" s="8" t="e">
        <f>VLOOKUP(B47,courses_program1!A:E,4,0)</f>
        <v>#N/A</v>
      </c>
      <c r="E47" s="8" t="e">
        <f>VLOOKUP(B47,courses_program1!A:E,5,0)</f>
        <v>#N/A</v>
      </c>
      <c r="F47" s="8" t="e">
        <f>VLOOKUP(C47,courses_program1!A:E,4,0)</f>
        <v>#N/A</v>
      </c>
      <c r="G47" s="8" t="e">
        <f>VLOOKUP(C47,courses_program1!A:E,5,0)</f>
        <v>#N/A</v>
      </c>
      <c r="H47" s="2">
        <v>1</v>
      </c>
      <c r="I47" s="2" t="e">
        <f t="shared" ca="1" si="0"/>
        <v>#NAME?</v>
      </c>
    </row>
    <row r="48" spans="1:9" ht="15.75" customHeight="1" x14ac:dyDescent="0.2">
      <c r="A48" s="2">
        <v>32</v>
      </c>
      <c r="B48" s="2" t="s">
        <v>53</v>
      </c>
      <c r="C48" s="2" t="s">
        <v>33</v>
      </c>
      <c r="D48" s="8" t="e">
        <f>VLOOKUP(B48,courses_program1!A:E,4,0)</f>
        <v>#N/A</v>
      </c>
      <c r="E48" s="8" t="e">
        <f>VLOOKUP(B48,courses_program1!A:E,5,0)</f>
        <v>#N/A</v>
      </c>
      <c r="F48" s="8" t="e">
        <f>VLOOKUP(C48,courses_program1!A:E,4,0)</f>
        <v>#N/A</v>
      </c>
      <c r="G48" s="8" t="e">
        <f>VLOOKUP(C48,courses_program1!A:E,5,0)</f>
        <v>#N/A</v>
      </c>
      <c r="H48" s="2">
        <v>1</v>
      </c>
      <c r="I48" s="2" t="e">
        <f t="shared" ca="1" si="0"/>
        <v>#NAME?</v>
      </c>
    </row>
    <row r="49" spans="1:9" ht="15.75" customHeight="1" x14ac:dyDescent="0.2">
      <c r="A49" s="2">
        <v>33</v>
      </c>
      <c r="B49" s="2" t="s">
        <v>53</v>
      </c>
      <c r="C49" s="2" t="s">
        <v>67</v>
      </c>
      <c r="D49" s="8" t="e">
        <f>VLOOKUP(B49,courses_program1!A:E,4,0)</f>
        <v>#N/A</v>
      </c>
      <c r="E49" s="8" t="e">
        <f>VLOOKUP(B49,courses_program1!A:E,5,0)</f>
        <v>#N/A</v>
      </c>
      <c r="F49" s="8">
        <f>VLOOKUP(C49,courses_program1!A:E,4,0)</f>
        <v>0</v>
      </c>
      <c r="G49" s="8">
        <f>VLOOKUP(C49,courses_program1!A:E,5,0)</f>
        <v>12</v>
      </c>
      <c r="H49" s="2">
        <v>1</v>
      </c>
      <c r="I49" s="2" t="e">
        <f t="shared" ca="1" si="0"/>
        <v>#NAME?</v>
      </c>
    </row>
    <row r="50" spans="1:9" ht="15.75" customHeight="1" x14ac:dyDescent="0.2">
      <c r="A50" s="2">
        <v>34</v>
      </c>
      <c r="B50" s="2" t="s">
        <v>54</v>
      </c>
      <c r="C50" s="2" t="s">
        <v>53</v>
      </c>
      <c r="D50" s="8" t="e">
        <f>VLOOKUP(B50,courses_program1!A:E,4,0)</f>
        <v>#N/A</v>
      </c>
      <c r="E50" s="8" t="e">
        <f>VLOOKUP(B50,courses_program1!A:E,5,0)</f>
        <v>#N/A</v>
      </c>
      <c r="F50" s="8" t="e">
        <f>VLOOKUP(C50,courses_program1!A:E,4,0)</f>
        <v>#N/A</v>
      </c>
      <c r="G50" s="8" t="e">
        <f>VLOOKUP(C50,courses_program1!A:E,5,0)</f>
        <v>#N/A</v>
      </c>
      <c r="H50" s="2">
        <v>1</v>
      </c>
      <c r="I50" s="2" t="e">
        <f t="shared" ca="1" si="0"/>
        <v>#NAME?</v>
      </c>
    </row>
    <row r="51" spans="1:9" ht="15.75" customHeight="1" x14ac:dyDescent="0.2">
      <c r="A51" s="2">
        <v>36</v>
      </c>
      <c r="B51" s="2" t="s">
        <v>59</v>
      </c>
      <c r="C51" s="2" t="s">
        <v>55</v>
      </c>
      <c r="D51" s="8">
        <f>VLOOKUP(B51,courses_program1!A:E,4,0)</f>
        <v>2</v>
      </c>
      <c r="E51" s="8">
        <f>VLOOKUP(B51,courses_program1!A:E,5,0)</f>
        <v>15</v>
      </c>
      <c r="F51" s="8">
        <f>VLOOKUP(C51,courses_program1!A:E,4,0)</f>
        <v>2</v>
      </c>
      <c r="G51" s="8">
        <f>VLOOKUP(C51,courses_program1!A:E,5,0)</f>
        <v>12</v>
      </c>
      <c r="H51" s="2">
        <v>1</v>
      </c>
      <c r="I51" s="2" t="e">
        <f t="shared" ca="1" si="0"/>
        <v>#NAME?</v>
      </c>
    </row>
    <row r="52" spans="1:9" ht="15.75" customHeight="1" x14ac:dyDescent="0.2">
      <c r="A52" s="2">
        <v>37</v>
      </c>
      <c r="B52" s="2" t="s">
        <v>63</v>
      </c>
      <c r="C52" s="2" t="s">
        <v>59</v>
      </c>
      <c r="D52" s="8">
        <f>VLOOKUP(B52,courses_program1!A:E,4,0)</f>
        <v>0</v>
      </c>
      <c r="E52" s="8">
        <f>VLOOKUP(B52,courses_program1!A:E,5,0)</f>
        <v>15</v>
      </c>
      <c r="F52" s="8">
        <f>VLOOKUP(C52,courses_program1!A:E,4,0)</f>
        <v>2</v>
      </c>
      <c r="G52" s="8">
        <f>VLOOKUP(C52,courses_program1!A:E,5,0)</f>
        <v>15</v>
      </c>
      <c r="H52" s="2">
        <v>1</v>
      </c>
      <c r="I52" s="2" t="e">
        <f t="shared" ca="1" si="0"/>
        <v>#NAME?</v>
      </c>
    </row>
    <row r="53" spans="1:9" ht="15.75" customHeight="1" x14ac:dyDescent="0.2">
      <c r="A53" s="2">
        <v>38</v>
      </c>
      <c r="B53" s="2" t="s">
        <v>67</v>
      </c>
      <c r="C53" s="2" t="s">
        <v>55</v>
      </c>
      <c r="D53" s="8">
        <f>VLOOKUP(B53,courses_program1!A:E,4,0)</f>
        <v>0</v>
      </c>
      <c r="E53" s="8">
        <f>VLOOKUP(B53,courses_program1!A:E,5,0)</f>
        <v>12</v>
      </c>
      <c r="F53" s="8">
        <f>VLOOKUP(C53,courses_program1!A:E,4,0)</f>
        <v>2</v>
      </c>
      <c r="G53" s="8">
        <f>VLOOKUP(C53,courses_program1!A:E,5,0)</f>
        <v>12</v>
      </c>
      <c r="H53" s="2">
        <v>1</v>
      </c>
      <c r="I53" s="2" t="e">
        <f t="shared" ca="1" si="0"/>
        <v>#NAME?</v>
      </c>
    </row>
    <row r="54" spans="1:9" ht="15.75" customHeight="1" x14ac:dyDescent="0.2">
      <c r="A54" s="2">
        <v>39</v>
      </c>
      <c r="B54" s="2" t="s">
        <v>71</v>
      </c>
      <c r="C54" s="2" t="s">
        <v>63</v>
      </c>
      <c r="D54" s="8" t="e">
        <f>VLOOKUP(B54,courses_program1!A:E,4,0)</f>
        <v>#N/A</v>
      </c>
      <c r="E54" s="8" t="e">
        <f>VLOOKUP(B54,courses_program1!A:E,5,0)</f>
        <v>#N/A</v>
      </c>
      <c r="F54" s="8">
        <f>VLOOKUP(C54,courses_program1!A:E,4,0)</f>
        <v>0</v>
      </c>
      <c r="G54" s="8">
        <f>VLOOKUP(C54,courses_program1!A:E,5,0)</f>
        <v>15</v>
      </c>
      <c r="H54" s="2">
        <v>1</v>
      </c>
      <c r="I54" s="2" t="e">
        <f t="shared" ca="1" si="0"/>
        <v>#NAME?</v>
      </c>
    </row>
    <row r="55" spans="1:9" ht="15.75" customHeight="1" x14ac:dyDescent="0.2">
      <c r="A55" s="2">
        <v>41</v>
      </c>
      <c r="B55" s="2" t="s">
        <v>75</v>
      </c>
      <c r="C55" s="2" t="s">
        <v>72</v>
      </c>
      <c r="D55" s="8">
        <f>VLOOKUP(B55,courses_program1!A:E,4,0)</f>
        <v>1</v>
      </c>
      <c r="E55" s="8">
        <f>VLOOKUP(B55,courses_program1!A:E,5,0)</f>
        <v>21</v>
      </c>
      <c r="F55" s="8">
        <f>VLOOKUP(C55,courses_program1!A:E,4,0)</f>
        <v>0</v>
      </c>
      <c r="G55" s="8">
        <f>VLOOKUP(C55,courses_program1!A:E,5,0)</f>
        <v>18</v>
      </c>
      <c r="H55" s="2">
        <v>1</v>
      </c>
      <c r="I55" s="2" t="e">
        <f t="shared" ca="1" si="0"/>
        <v>#NAME?</v>
      </c>
    </row>
    <row r="56" spans="1:9" ht="15.75" customHeight="1" x14ac:dyDescent="0.2">
      <c r="D56" s="8"/>
      <c r="E56" s="8"/>
      <c r="F56" s="8"/>
      <c r="G56" s="8"/>
    </row>
    <row r="57" spans="1:9" ht="15.75" customHeight="1" x14ac:dyDescent="0.2">
      <c r="D57" s="8"/>
      <c r="E57" s="8"/>
      <c r="F57" s="8"/>
      <c r="G57" s="8"/>
    </row>
    <row r="58" spans="1:9" ht="15.75" customHeight="1" x14ac:dyDescent="0.2">
      <c r="D58" s="8"/>
      <c r="E58" s="8"/>
      <c r="F58" s="8"/>
      <c r="G58" s="8"/>
    </row>
    <row r="59" spans="1:9" ht="15.75" customHeight="1" x14ac:dyDescent="0.2">
      <c r="D59" s="8"/>
      <c r="E59" s="8"/>
      <c r="F59" s="8"/>
      <c r="G59" s="8"/>
    </row>
    <row r="60" spans="1:9" ht="15.75" customHeight="1" x14ac:dyDescent="0.2">
      <c r="D60" s="8"/>
      <c r="E60" s="8"/>
      <c r="F60" s="8"/>
      <c r="G60" s="8"/>
    </row>
    <row r="61" spans="1:9" ht="15.75" customHeight="1" x14ac:dyDescent="0.2">
      <c r="D61" s="8"/>
      <c r="E61" s="8"/>
      <c r="F61" s="8"/>
      <c r="G61" s="8"/>
    </row>
    <row r="62" spans="1:9" ht="15.75" customHeight="1" x14ac:dyDescent="0.2">
      <c r="D62" s="8"/>
      <c r="E62" s="8"/>
      <c r="F62" s="8"/>
      <c r="G62" s="8"/>
    </row>
    <row r="63" spans="1:9" ht="15.75" customHeight="1" x14ac:dyDescent="0.2">
      <c r="D63" s="8"/>
      <c r="E63" s="8"/>
      <c r="F63" s="8"/>
      <c r="G63" s="8"/>
    </row>
    <row r="64" spans="1:9" ht="15.75" customHeight="1" x14ac:dyDescent="0.2">
      <c r="D64" s="8"/>
      <c r="E64" s="8"/>
      <c r="F64" s="8"/>
      <c r="G64" s="8"/>
    </row>
    <row r="65" spans="4:8" ht="15.75" customHeight="1" x14ac:dyDescent="0.2">
      <c r="D65" s="8"/>
      <c r="E65" s="8"/>
      <c r="F65" s="8"/>
      <c r="G65" s="8"/>
    </row>
    <row r="66" spans="4:8" ht="15.75" customHeight="1" x14ac:dyDescent="0.2">
      <c r="D66" s="8"/>
      <c r="E66" s="8"/>
      <c r="F66" s="8"/>
      <c r="G66" s="8"/>
    </row>
    <row r="67" spans="4:8" ht="15.75" customHeight="1" x14ac:dyDescent="0.2">
      <c r="D67" s="8"/>
      <c r="E67" s="8"/>
      <c r="F67" s="8"/>
      <c r="G67" s="8"/>
    </row>
    <row r="68" spans="4:8" ht="15.75" customHeight="1" x14ac:dyDescent="0.2">
      <c r="D68" s="8"/>
      <c r="E68" s="8"/>
      <c r="F68" s="8"/>
      <c r="G68" s="8"/>
    </row>
    <row r="69" spans="4:8" ht="15.75" customHeight="1" x14ac:dyDescent="0.2">
      <c r="D69" s="8"/>
      <c r="E69" s="8"/>
      <c r="F69" s="8"/>
      <c r="G69" s="8"/>
    </row>
    <row r="70" spans="4:8" ht="15.75" customHeight="1" x14ac:dyDescent="0.2">
      <c r="D70" s="8"/>
      <c r="E70" s="8"/>
      <c r="F70" s="8"/>
      <c r="G70" s="8"/>
    </row>
    <row r="71" spans="4:8" ht="15.75" customHeight="1" x14ac:dyDescent="0.2">
      <c r="D71" s="8"/>
      <c r="E71" s="8"/>
      <c r="F71" s="8"/>
      <c r="G71" s="8"/>
    </row>
    <row r="72" spans="4:8" ht="15.75" customHeight="1" x14ac:dyDescent="0.2">
      <c r="D72" s="8"/>
      <c r="E72" s="8"/>
      <c r="F72" s="8"/>
      <c r="G72" s="8"/>
    </row>
    <row r="73" spans="4:8" ht="15.75" customHeight="1" x14ac:dyDescent="0.2">
      <c r="D73" s="8"/>
      <c r="E73" s="8"/>
      <c r="F73" s="8"/>
      <c r="G73" s="8"/>
    </row>
    <row r="74" spans="4:8" ht="15.75" customHeight="1" x14ac:dyDescent="0.2">
      <c r="D74" s="8"/>
      <c r="E74" s="8"/>
      <c r="F74" s="8"/>
      <c r="G74" s="8"/>
      <c r="H74" s="7"/>
    </row>
    <row r="75" spans="4:8" ht="15.75" customHeight="1" x14ac:dyDescent="0.2"/>
    <row r="76" spans="4:8" ht="15.75" customHeight="1" x14ac:dyDescent="0.2"/>
    <row r="77" spans="4:8" ht="15.75" customHeight="1" x14ac:dyDescent="0.2"/>
    <row r="78" spans="4:8" ht="15.75" customHeight="1" x14ac:dyDescent="0.2"/>
    <row r="79" spans="4:8" ht="15.75" customHeight="1" x14ac:dyDescent="0.2"/>
    <row r="80" spans="4: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00"/>
  <sheetViews>
    <sheetView workbookViewId="0"/>
  </sheetViews>
  <sheetFormatPr baseColWidth="10" defaultColWidth="14.5" defaultRowHeight="15" customHeight="1" x14ac:dyDescent="0.2"/>
  <cols>
    <col min="1" max="1" width="13.83203125" customWidth="1"/>
    <col min="2" max="6" width="10.6640625" customWidth="1"/>
  </cols>
  <sheetData>
    <row r="1" spans="1:13" x14ac:dyDescent="0.2">
      <c r="A1" s="1" t="s">
        <v>0</v>
      </c>
      <c r="B1" s="5" t="s">
        <v>121</v>
      </c>
      <c r="C1" s="5" t="s">
        <v>122</v>
      </c>
      <c r="D1" s="5" t="s">
        <v>123</v>
      </c>
      <c r="E1" s="5" t="s">
        <v>124</v>
      </c>
      <c r="F1" s="4" t="s">
        <v>125</v>
      </c>
      <c r="H1" s="1"/>
      <c r="I1" s="5"/>
      <c r="J1" s="5"/>
      <c r="K1" s="5"/>
      <c r="L1" s="5"/>
      <c r="M1" s="5"/>
    </row>
    <row r="2" spans="1:13" x14ac:dyDescent="0.2">
      <c r="A2" s="5" t="s">
        <v>6</v>
      </c>
      <c r="B2" s="5">
        <v>2</v>
      </c>
      <c r="C2" s="5">
        <v>16</v>
      </c>
      <c r="D2" s="2">
        <v>0</v>
      </c>
      <c r="E2" s="2">
        <v>3</v>
      </c>
      <c r="F2" s="4">
        <v>0</v>
      </c>
      <c r="H2" s="5"/>
      <c r="I2" s="5"/>
      <c r="J2" s="5"/>
      <c r="M2" s="5"/>
    </row>
    <row r="3" spans="1:13" x14ac:dyDescent="0.2">
      <c r="A3" s="5" t="s">
        <v>12</v>
      </c>
      <c r="B3" s="5">
        <v>2</v>
      </c>
      <c r="C3" s="5">
        <v>24</v>
      </c>
      <c r="D3" s="2">
        <v>2</v>
      </c>
      <c r="E3" s="2">
        <v>3</v>
      </c>
      <c r="F3" s="4">
        <v>0</v>
      </c>
      <c r="H3" s="5"/>
      <c r="I3" s="5"/>
      <c r="J3" s="5"/>
      <c r="M3" s="5"/>
    </row>
    <row r="4" spans="1:13" x14ac:dyDescent="0.2">
      <c r="A4" s="5" t="s">
        <v>16</v>
      </c>
      <c r="B4" s="5">
        <v>1</v>
      </c>
      <c r="C4" s="5">
        <v>8</v>
      </c>
      <c r="D4" s="2">
        <v>-2</v>
      </c>
      <c r="E4" s="2">
        <v>0</v>
      </c>
      <c r="F4" s="4">
        <v>0</v>
      </c>
      <c r="H4" s="5"/>
      <c r="I4" s="5"/>
      <c r="J4" s="5"/>
      <c r="M4" s="5"/>
    </row>
    <row r="5" spans="1:13" x14ac:dyDescent="0.2">
      <c r="A5" s="5" t="s">
        <v>17</v>
      </c>
      <c r="B5" s="5">
        <v>3</v>
      </c>
      <c r="C5" s="5">
        <v>8</v>
      </c>
      <c r="D5" s="2">
        <v>2</v>
      </c>
      <c r="E5" s="2">
        <v>6</v>
      </c>
      <c r="F5" s="4">
        <v>0</v>
      </c>
      <c r="H5" s="5"/>
      <c r="I5" s="5"/>
      <c r="J5" s="5"/>
      <c r="M5" s="5"/>
    </row>
    <row r="6" spans="1:13" x14ac:dyDescent="0.2">
      <c r="A6" s="5" t="s">
        <v>21</v>
      </c>
      <c r="B6" s="5">
        <v>3</v>
      </c>
      <c r="C6" s="5">
        <v>20</v>
      </c>
      <c r="D6" s="2">
        <v>1</v>
      </c>
      <c r="E6" s="2">
        <v>9</v>
      </c>
      <c r="F6" s="4">
        <v>1</v>
      </c>
      <c r="H6" s="5"/>
      <c r="I6" s="5"/>
      <c r="J6" s="5"/>
      <c r="M6" s="5"/>
    </row>
    <row r="7" spans="1:13" x14ac:dyDescent="0.2">
      <c r="A7" s="5" t="s">
        <v>25</v>
      </c>
      <c r="B7" s="5">
        <v>3</v>
      </c>
      <c r="C7" s="5">
        <v>24</v>
      </c>
      <c r="D7" s="2">
        <v>0</v>
      </c>
      <c r="E7" s="2">
        <v>6</v>
      </c>
      <c r="F7" s="4">
        <v>1</v>
      </c>
      <c r="H7" s="5"/>
      <c r="I7" s="5"/>
      <c r="J7" s="5"/>
      <c r="M7" s="5"/>
    </row>
    <row r="8" spans="1:13" x14ac:dyDescent="0.2">
      <c r="A8" s="5" t="s">
        <v>28</v>
      </c>
      <c r="B8" s="5">
        <v>4</v>
      </c>
      <c r="C8" s="5">
        <v>16</v>
      </c>
      <c r="D8" s="2">
        <v>-1</v>
      </c>
      <c r="E8" s="2">
        <v>9</v>
      </c>
      <c r="F8" s="4">
        <v>1</v>
      </c>
      <c r="H8" s="5"/>
      <c r="I8" s="5"/>
      <c r="J8" s="5"/>
      <c r="M8" s="5"/>
    </row>
    <row r="9" spans="1:13" x14ac:dyDescent="0.2">
      <c r="A9" s="4" t="s">
        <v>33</v>
      </c>
      <c r="B9" s="4">
        <v>5</v>
      </c>
      <c r="C9" s="4">
        <v>18</v>
      </c>
      <c r="D9" s="2">
        <v>-2</v>
      </c>
      <c r="E9" s="2">
        <v>12</v>
      </c>
      <c r="F9" s="4">
        <v>1</v>
      </c>
      <c r="H9" s="4"/>
      <c r="I9" s="4"/>
      <c r="J9" s="4"/>
      <c r="M9" s="5"/>
    </row>
    <row r="10" spans="1:13" x14ac:dyDescent="0.2">
      <c r="A10" s="4" t="s">
        <v>34</v>
      </c>
      <c r="B10" s="4">
        <v>5</v>
      </c>
      <c r="C10" s="4">
        <v>15</v>
      </c>
      <c r="D10" s="2">
        <v>2</v>
      </c>
      <c r="E10" s="2">
        <v>12</v>
      </c>
      <c r="F10" s="4">
        <v>1</v>
      </c>
      <c r="H10" s="4"/>
      <c r="I10" s="4"/>
      <c r="J10" s="4"/>
      <c r="M10" s="5"/>
    </row>
    <row r="11" spans="1:13" x14ac:dyDescent="0.2">
      <c r="A11" s="4" t="s">
        <v>38</v>
      </c>
      <c r="B11" s="4">
        <v>6</v>
      </c>
      <c r="C11" s="4">
        <v>14</v>
      </c>
      <c r="D11" s="2">
        <v>2</v>
      </c>
      <c r="E11" s="2">
        <v>15</v>
      </c>
      <c r="F11" s="4">
        <v>1</v>
      </c>
      <c r="H11" s="4"/>
      <c r="I11" s="4"/>
      <c r="J11" s="4"/>
      <c r="M11" s="5"/>
    </row>
    <row r="12" spans="1:13" ht="16" x14ac:dyDescent="0.2">
      <c r="A12" s="4" t="s">
        <v>39</v>
      </c>
      <c r="B12" s="7">
        <v>6</v>
      </c>
      <c r="C12" s="7">
        <v>13</v>
      </c>
      <c r="D12" s="2">
        <v>0</v>
      </c>
      <c r="E12" s="2">
        <v>15</v>
      </c>
      <c r="F12" s="4">
        <v>1</v>
      </c>
      <c r="H12" s="4"/>
      <c r="I12" s="7"/>
      <c r="J12" s="7"/>
      <c r="M12" s="5"/>
    </row>
    <row r="13" spans="1:13" x14ac:dyDescent="0.2">
      <c r="A13" s="4" t="s">
        <v>40</v>
      </c>
      <c r="B13" s="4">
        <v>6</v>
      </c>
      <c r="C13" s="4">
        <v>18.25</v>
      </c>
      <c r="D13" s="2">
        <v>-2</v>
      </c>
      <c r="E13" s="2">
        <v>15</v>
      </c>
      <c r="F13" s="4">
        <v>1</v>
      </c>
      <c r="H13" s="4"/>
      <c r="I13" s="4"/>
      <c r="J13" s="4"/>
      <c r="M13" s="5"/>
    </row>
    <row r="14" spans="1:13" x14ac:dyDescent="0.2">
      <c r="A14" s="4" t="s">
        <v>41</v>
      </c>
      <c r="B14" s="4">
        <v>3</v>
      </c>
      <c r="C14" s="4">
        <v>18</v>
      </c>
      <c r="D14" s="2">
        <v>3</v>
      </c>
      <c r="E14" s="2">
        <v>9</v>
      </c>
      <c r="F14" s="4">
        <v>1</v>
      </c>
      <c r="H14" s="4"/>
      <c r="I14" s="4"/>
      <c r="J14" s="4"/>
      <c r="M14" s="5"/>
    </row>
    <row r="15" spans="1:13" x14ac:dyDescent="0.2">
      <c r="A15" s="4" t="s">
        <v>42</v>
      </c>
      <c r="B15" s="4">
        <v>5</v>
      </c>
      <c r="C15" s="4">
        <v>14</v>
      </c>
      <c r="D15" s="2">
        <v>0</v>
      </c>
      <c r="E15" s="2">
        <v>12</v>
      </c>
      <c r="F15" s="4">
        <v>1</v>
      </c>
      <c r="H15" s="4"/>
      <c r="I15" s="4"/>
      <c r="J15" s="4"/>
      <c r="M15" s="5"/>
    </row>
    <row r="16" spans="1:13" x14ac:dyDescent="0.2">
      <c r="A16" s="4" t="s">
        <v>43</v>
      </c>
      <c r="B16" s="4">
        <v>7</v>
      </c>
      <c r="C16" s="4">
        <v>18</v>
      </c>
      <c r="D16" s="2">
        <v>0</v>
      </c>
      <c r="E16" s="2">
        <v>18</v>
      </c>
      <c r="F16" s="4">
        <v>1</v>
      </c>
      <c r="H16" s="4"/>
      <c r="I16" s="4"/>
      <c r="J16" s="4"/>
      <c r="M16" s="5"/>
    </row>
    <row r="17" spans="1:13" x14ac:dyDescent="0.2">
      <c r="A17" s="4" t="s">
        <v>44</v>
      </c>
      <c r="B17" s="4">
        <v>7</v>
      </c>
      <c r="C17" s="4">
        <v>19</v>
      </c>
      <c r="D17" s="2">
        <v>1</v>
      </c>
      <c r="E17" s="2">
        <v>21</v>
      </c>
      <c r="F17" s="4">
        <v>1</v>
      </c>
      <c r="H17" s="4"/>
      <c r="I17" s="4"/>
      <c r="J17" s="4"/>
      <c r="M17" s="5"/>
    </row>
    <row r="18" spans="1:13" x14ac:dyDescent="0.2">
      <c r="A18" s="4" t="s">
        <v>45</v>
      </c>
      <c r="B18" s="4">
        <v>7</v>
      </c>
      <c r="C18" s="4">
        <v>17</v>
      </c>
      <c r="D18" s="2">
        <v>2</v>
      </c>
      <c r="E18" s="2">
        <v>18</v>
      </c>
      <c r="F18" s="4">
        <v>1</v>
      </c>
      <c r="H18" s="4"/>
      <c r="I18" s="4"/>
      <c r="J18" s="4"/>
      <c r="M18" s="5"/>
    </row>
    <row r="19" spans="1:13" x14ac:dyDescent="0.2">
      <c r="A19" s="4" t="s">
        <v>48</v>
      </c>
      <c r="B19" s="4">
        <v>7</v>
      </c>
      <c r="C19" s="4">
        <v>16.5</v>
      </c>
      <c r="D19" s="2">
        <v>-2</v>
      </c>
      <c r="E19" s="2">
        <v>18</v>
      </c>
      <c r="F19" s="4">
        <v>1</v>
      </c>
      <c r="H19" s="4"/>
      <c r="I19" s="4"/>
      <c r="J19" s="4"/>
      <c r="M19" s="5"/>
    </row>
    <row r="20" spans="1:13" x14ac:dyDescent="0.2">
      <c r="A20" s="4" t="s">
        <v>49</v>
      </c>
      <c r="B20" s="4">
        <v>7</v>
      </c>
      <c r="C20" s="4">
        <v>15</v>
      </c>
      <c r="D20" s="2">
        <v>4</v>
      </c>
      <c r="E20" s="2">
        <v>18</v>
      </c>
      <c r="F20" s="4">
        <v>1</v>
      </c>
      <c r="H20" s="4"/>
      <c r="I20" s="4"/>
      <c r="J20" s="4"/>
      <c r="M20" s="5"/>
    </row>
    <row r="21" spans="1:13" ht="15.75" customHeight="1" x14ac:dyDescent="0.2">
      <c r="A21" s="4" t="s">
        <v>50</v>
      </c>
      <c r="B21" s="4">
        <v>7</v>
      </c>
      <c r="C21" s="4">
        <v>20</v>
      </c>
      <c r="D21" s="2">
        <v>-6</v>
      </c>
      <c r="E21" s="2">
        <v>18</v>
      </c>
      <c r="F21" s="4">
        <v>1</v>
      </c>
      <c r="H21" s="4"/>
      <c r="I21" s="4"/>
      <c r="J21" s="4"/>
      <c r="M21" s="5"/>
    </row>
    <row r="22" spans="1:13" ht="15.75" customHeight="1" x14ac:dyDescent="0.2">
      <c r="A22" s="4" t="s">
        <v>51</v>
      </c>
      <c r="B22" s="4">
        <v>7</v>
      </c>
      <c r="C22" s="4">
        <v>14</v>
      </c>
      <c r="D22" s="2">
        <v>0</v>
      </c>
      <c r="E22" s="2">
        <v>24</v>
      </c>
      <c r="F22" s="4">
        <v>0</v>
      </c>
      <c r="H22" s="4"/>
      <c r="I22" s="4"/>
      <c r="J22" s="4"/>
      <c r="M22" s="5"/>
    </row>
    <row r="23" spans="1:13" ht="15.75" customHeight="1" x14ac:dyDescent="0.2">
      <c r="A23" s="4" t="s">
        <v>52</v>
      </c>
      <c r="B23" s="4">
        <v>7</v>
      </c>
      <c r="C23" s="4">
        <v>13</v>
      </c>
      <c r="D23" s="2">
        <v>6</v>
      </c>
      <c r="E23" s="2">
        <v>18</v>
      </c>
      <c r="F23" s="4">
        <v>1</v>
      </c>
      <c r="H23" s="4"/>
      <c r="I23" s="4"/>
      <c r="J23" s="4"/>
      <c r="M23" s="5"/>
    </row>
    <row r="24" spans="1:13" ht="15.75" customHeight="1" x14ac:dyDescent="0.2">
      <c r="A24" s="4" t="s">
        <v>53</v>
      </c>
      <c r="B24" s="4">
        <v>6</v>
      </c>
      <c r="C24" s="4">
        <v>16</v>
      </c>
      <c r="D24" s="2">
        <v>-4</v>
      </c>
      <c r="E24" s="2">
        <v>18</v>
      </c>
      <c r="F24" s="4">
        <v>0</v>
      </c>
      <c r="H24" s="4"/>
      <c r="I24" s="4"/>
      <c r="J24" s="4"/>
      <c r="M24" s="5"/>
    </row>
    <row r="25" spans="1:13" ht="15.75" customHeight="1" x14ac:dyDescent="0.2">
      <c r="A25" s="4" t="s">
        <v>54</v>
      </c>
      <c r="B25" s="4">
        <v>7</v>
      </c>
      <c r="C25" s="4">
        <v>15.5</v>
      </c>
      <c r="D25" s="2">
        <v>-1</v>
      </c>
      <c r="E25" s="2">
        <v>21</v>
      </c>
      <c r="F25" s="4">
        <v>0</v>
      </c>
      <c r="H25" s="4"/>
      <c r="I25" s="4"/>
      <c r="J25" s="4"/>
      <c r="M25" s="5"/>
    </row>
    <row r="26" spans="1:13" ht="15.75" customHeight="1" x14ac:dyDescent="0.2">
      <c r="A26" s="4" t="s">
        <v>55</v>
      </c>
      <c r="B26" s="7">
        <v>1</v>
      </c>
      <c r="C26" s="7">
        <v>16</v>
      </c>
      <c r="D26" s="2">
        <v>0</v>
      </c>
      <c r="E26" s="2">
        <v>0</v>
      </c>
      <c r="F26" s="4">
        <v>0</v>
      </c>
      <c r="H26" s="4"/>
      <c r="I26" s="7"/>
      <c r="J26" s="7"/>
      <c r="M26" s="5"/>
    </row>
    <row r="27" spans="1:13" ht="15.75" customHeight="1" x14ac:dyDescent="0.2">
      <c r="A27" s="4" t="s">
        <v>59</v>
      </c>
      <c r="B27" s="7">
        <v>2</v>
      </c>
      <c r="C27" s="7">
        <v>8</v>
      </c>
      <c r="D27" s="2">
        <v>-4</v>
      </c>
      <c r="E27" s="2">
        <v>3</v>
      </c>
      <c r="F27" s="4">
        <v>0</v>
      </c>
      <c r="H27" s="4"/>
      <c r="I27" s="7"/>
      <c r="J27" s="7"/>
      <c r="M27" s="5"/>
    </row>
    <row r="28" spans="1:13" ht="15.75" customHeight="1" x14ac:dyDescent="0.2">
      <c r="A28" s="4" t="s">
        <v>63</v>
      </c>
      <c r="B28" s="7">
        <v>3</v>
      </c>
      <c r="C28" s="7">
        <v>12</v>
      </c>
      <c r="D28" s="2">
        <v>-2</v>
      </c>
      <c r="E28" s="2">
        <v>6</v>
      </c>
      <c r="F28" s="4">
        <v>0</v>
      </c>
      <c r="H28" s="4"/>
      <c r="I28" s="7"/>
      <c r="J28" s="7"/>
      <c r="M28" s="5"/>
    </row>
    <row r="29" spans="1:13" ht="15.75" customHeight="1" x14ac:dyDescent="0.2">
      <c r="A29" s="4" t="s">
        <v>67</v>
      </c>
      <c r="B29" s="7">
        <v>2.5</v>
      </c>
      <c r="C29" s="7">
        <v>14</v>
      </c>
      <c r="D29" s="2">
        <v>4</v>
      </c>
      <c r="E29" s="2">
        <v>3</v>
      </c>
      <c r="F29" s="4">
        <v>0</v>
      </c>
      <c r="H29" s="4"/>
      <c r="I29" s="7"/>
      <c r="J29" s="7"/>
      <c r="M29" s="5"/>
    </row>
    <row r="30" spans="1:13" ht="15.75" customHeight="1" x14ac:dyDescent="0.2">
      <c r="A30" s="4" t="s">
        <v>71</v>
      </c>
      <c r="B30" s="7">
        <v>4</v>
      </c>
      <c r="C30" s="7">
        <v>12</v>
      </c>
      <c r="D30" s="2">
        <v>-3</v>
      </c>
      <c r="E30" s="2">
        <v>9</v>
      </c>
      <c r="F30" s="4">
        <v>0</v>
      </c>
      <c r="H30" s="4"/>
      <c r="I30" s="7"/>
      <c r="J30" s="7"/>
      <c r="M30" s="5"/>
    </row>
    <row r="31" spans="1:13" ht="15.75" customHeight="1" x14ac:dyDescent="0.2">
      <c r="A31" s="4" t="s">
        <v>72</v>
      </c>
      <c r="B31" s="7">
        <v>1</v>
      </c>
      <c r="C31" s="7">
        <v>24</v>
      </c>
      <c r="D31" s="2">
        <v>2</v>
      </c>
      <c r="E31" s="2">
        <v>0</v>
      </c>
      <c r="F31" s="4">
        <v>0</v>
      </c>
      <c r="H31" s="4"/>
      <c r="I31" s="7"/>
      <c r="J31" s="7"/>
      <c r="M31" s="5"/>
    </row>
    <row r="32" spans="1:13" ht="15.75" customHeight="1" x14ac:dyDescent="0.2">
      <c r="A32" s="4" t="s">
        <v>75</v>
      </c>
      <c r="B32" s="7">
        <v>2</v>
      </c>
      <c r="C32" s="7">
        <v>20</v>
      </c>
      <c r="D32" s="2">
        <v>-2</v>
      </c>
      <c r="E32" s="2">
        <v>3</v>
      </c>
      <c r="F32" s="4">
        <v>0</v>
      </c>
      <c r="H32" s="4"/>
      <c r="I32" s="7"/>
      <c r="J32" s="7"/>
      <c r="M32" s="5"/>
    </row>
    <row r="33" spans="1:6" ht="15.75" customHeight="1" x14ac:dyDescent="0.2">
      <c r="A33" s="4"/>
      <c r="B33" s="4"/>
      <c r="C33" s="4"/>
      <c r="D33" s="10"/>
      <c r="E33" s="10"/>
      <c r="F33" s="4"/>
    </row>
    <row r="34" spans="1:6" ht="15.75" customHeight="1" x14ac:dyDescent="0.2">
      <c r="A34" s="4"/>
      <c r="B34" s="4"/>
      <c r="C34" s="4"/>
      <c r="D34" s="10"/>
      <c r="E34" s="10"/>
      <c r="F34" s="4"/>
    </row>
    <row r="35" spans="1:6" ht="15.75" customHeight="1" x14ac:dyDescent="0.2">
      <c r="A35" s="4"/>
      <c r="B35" s="4"/>
      <c r="C35" s="4"/>
      <c r="D35" s="10"/>
      <c r="E35" s="10"/>
      <c r="F35" s="4"/>
    </row>
    <row r="36" spans="1:6" ht="15.75" customHeight="1" x14ac:dyDescent="0.2">
      <c r="A36" s="4"/>
      <c r="B36" s="4"/>
      <c r="C36" s="4"/>
      <c r="D36" s="10"/>
      <c r="E36" s="10"/>
      <c r="F36" s="4"/>
    </row>
    <row r="37" spans="1:6" ht="15.75" customHeight="1" x14ac:dyDescent="0.2">
      <c r="A37" s="4"/>
      <c r="B37" s="4"/>
      <c r="C37" s="4"/>
      <c r="D37" s="10"/>
      <c r="E37" s="10"/>
      <c r="F37" s="4"/>
    </row>
    <row r="38" spans="1:6" ht="15.75" customHeight="1" x14ac:dyDescent="0.2">
      <c r="A38" s="4"/>
      <c r="B38" s="4"/>
      <c r="C38" s="4"/>
      <c r="D38" s="10"/>
      <c r="E38" s="10"/>
      <c r="F38" s="4"/>
    </row>
    <row r="39" spans="1:6" ht="15.75" customHeight="1" x14ac:dyDescent="0.2">
      <c r="A39" s="4"/>
      <c r="B39" s="7"/>
      <c r="C39" s="7"/>
      <c r="D39" s="10"/>
      <c r="E39" s="10"/>
      <c r="F39" s="4"/>
    </row>
    <row r="40" spans="1:6" ht="15.75" customHeight="1" x14ac:dyDescent="0.2">
      <c r="A40" s="4"/>
      <c r="B40" s="7"/>
      <c r="C40" s="7"/>
      <c r="D40" s="10"/>
      <c r="E40" s="10"/>
      <c r="F40" s="4"/>
    </row>
    <row r="41" spans="1:6" ht="15.75" customHeight="1" x14ac:dyDescent="0.2">
      <c r="A41" s="4"/>
      <c r="B41" s="4"/>
      <c r="C41" s="4"/>
      <c r="D41" s="10"/>
      <c r="E41" s="10"/>
      <c r="F41" s="4"/>
    </row>
    <row r="42" spans="1:6" ht="15.75" customHeight="1" x14ac:dyDescent="0.2">
      <c r="A42" s="4"/>
      <c r="B42" s="4"/>
      <c r="C42" s="4"/>
      <c r="D42" s="10"/>
      <c r="E42" s="10"/>
      <c r="F42" s="4"/>
    </row>
    <row r="43" spans="1:6" ht="15.75" customHeight="1" x14ac:dyDescent="0.2"/>
    <row r="44" spans="1:6" ht="15.75" customHeight="1" x14ac:dyDescent="0.2"/>
    <row r="45" spans="1:6" ht="15.75" customHeight="1" x14ac:dyDescent="0.2"/>
    <row r="46" spans="1:6" ht="15.75" customHeight="1" x14ac:dyDescent="0.2"/>
    <row r="47" spans="1:6" ht="15.75" customHeight="1" x14ac:dyDescent="0.2"/>
    <row r="48" spans="1: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00"/>
  <sheetViews>
    <sheetView workbookViewId="0"/>
  </sheetViews>
  <sheetFormatPr baseColWidth="10" defaultColWidth="14.5" defaultRowHeight="15" customHeight="1" x14ac:dyDescent="0.2"/>
  <cols>
    <col min="1" max="1" width="10.6640625" customWidth="1"/>
    <col min="2" max="2" width="13.83203125" customWidth="1"/>
    <col min="3" max="3" width="15" customWidth="1"/>
    <col min="4" max="7" width="10.6640625" customWidth="1"/>
    <col min="8" max="8" width="16.83203125" customWidth="1"/>
    <col min="9" max="9" width="21" customWidth="1"/>
  </cols>
  <sheetData>
    <row r="1" spans="1:9" x14ac:dyDescent="0.2">
      <c r="A1" s="5" t="s">
        <v>78</v>
      </c>
      <c r="B1" s="5" t="s">
        <v>0</v>
      </c>
      <c r="C1" s="9" t="s">
        <v>99</v>
      </c>
      <c r="D1" s="8" t="s">
        <v>126</v>
      </c>
      <c r="E1" s="8" t="s">
        <v>127</v>
      </c>
      <c r="F1" s="8" t="s">
        <v>128</v>
      </c>
      <c r="G1" s="8" t="s">
        <v>129</v>
      </c>
      <c r="H1" s="8" t="s">
        <v>130</v>
      </c>
      <c r="I1" s="8" t="s">
        <v>131</v>
      </c>
    </row>
    <row r="2" spans="1:9" x14ac:dyDescent="0.2">
      <c r="A2" s="2">
        <v>1</v>
      </c>
      <c r="B2" s="2" t="s">
        <v>6</v>
      </c>
      <c r="C2" s="2" t="s">
        <v>55</v>
      </c>
      <c r="D2" s="8">
        <f>VLOOKUP(B2,courses_program1!A:E,4,0)</f>
        <v>0</v>
      </c>
      <c r="E2" s="8">
        <f>VLOOKUP(B2,courses_program1!A:E,5,0)</f>
        <v>3</v>
      </c>
      <c r="F2" s="8">
        <f>VLOOKUP(C2,courses_program1!A:E,4,0)</f>
        <v>2</v>
      </c>
      <c r="G2" s="8">
        <f>VLOOKUP(C2,courses_program1!A:E,5,0)</f>
        <v>12</v>
      </c>
      <c r="H2" s="2">
        <v>1</v>
      </c>
      <c r="I2" s="2" t="e">
        <f t="shared" ref="I2:I55" ca="1" si="0">_xludf.CONCAT(B2, C2)</f>
        <v>#NAME?</v>
      </c>
    </row>
    <row r="3" spans="1:9" x14ac:dyDescent="0.2">
      <c r="A3" s="2">
        <v>2</v>
      </c>
      <c r="B3" s="2" t="s">
        <v>12</v>
      </c>
      <c r="C3" s="2" t="s">
        <v>72</v>
      </c>
      <c r="D3" s="8">
        <f>VLOOKUP(B3,courses_program1!A:E,4,0)</f>
        <v>2</v>
      </c>
      <c r="E3" s="8">
        <f>VLOOKUP(B3,courses_program1!A:E,5,0)</f>
        <v>3</v>
      </c>
      <c r="F3" s="8">
        <f>VLOOKUP(C3,courses_program1!A:E,4,0)</f>
        <v>0</v>
      </c>
      <c r="G3" s="8">
        <f>VLOOKUP(C3,courses_program1!A:E,5,0)</f>
        <v>18</v>
      </c>
      <c r="H3" s="2">
        <v>1</v>
      </c>
      <c r="I3" s="2" t="e">
        <f t="shared" ca="1" si="0"/>
        <v>#NAME?</v>
      </c>
    </row>
    <row r="4" spans="1:9" x14ac:dyDescent="0.2">
      <c r="A4" s="2">
        <v>4</v>
      </c>
      <c r="B4" s="2" t="s">
        <v>17</v>
      </c>
      <c r="C4" s="2" t="s">
        <v>59</v>
      </c>
      <c r="D4" s="8">
        <f>VLOOKUP(B4,courses_program1!A:E,4,0)</f>
        <v>-2</v>
      </c>
      <c r="E4" s="8">
        <f>VLOOKUP(B4,courses_program1!A:E,5,0)</f>
        <v>0</v>
      </c>
      <c r="F4" s="8">
        <f>VLOOKUP(C4,courses_program1!A:E,4,0)</f>
        <v>2</v>
      </c>
      <c r="G4" s="8">
        <f>VLOOKUP(C4,courses_program1!A:E,5,0)</f>
        <v>15</v>
      </c>
      <c r="H4" s="2">
        <v>1</v>
      </c>
      <c r="I4" s="2" t="e">
        <f t="shared" ca="1" si="0"/>
        <v>#NAME?</v>
      </c>
    </row>
    <row r="5" spans="1:9" x14ac:dyDescent="0.2">
      <c r="A5" s="2">
        <v>5</v>
      </c>
      <c r="B5" s="2" t="s">
        <v>21</v>
      </c>
      <c r="C5" s="2" t="s">
        <v>6</v>
      </c>
      <c r="D5" s="8">
        <f>VLOOKUP(B5,courses_program1!A:E,4,0)</f>
        <v>2</v>
      </c>
      <c r="E5" s="8">
        <f>VLOOKUP(B5,courses_program1!A:E,5,0)</f>
        <v>6</v>
      </c>
      <c r="F5" s="8">
        <f>VLOOKUP(C5,courses_program1!A:E,4,0)</f>
        <v>0</v>
      </c>
      <c r="G5" s="8">
        <f>VLOOKUP(C5,courses_program1!A:E,5,0)</f>
        <v>3</v>
      </c>
      <c r="H5" s="2">
        <v>1</v>
      </c>
      <c r="I5" s="2" t="e">
        <f t="shared" ca="1" si="0"/>
        <v>#NAME?</v>
      </c>
    </row>
    <row r="6" spans="1:9" x14ac:dyDescent="0.2">
      <c r="A6" s="2">
        <v>5</v>
      </c>
      <c r="B6" s="2" t="s">
        <v>21</v>
      </c>
      <c r="C6" s="2" t="s">
        <v>16</v>
      </c>
      <c r="D6" s="8">
        <f>VLOOKUP(B6,courses_program1!A:E,4,0)</f>
        <v>2</v>
      </c>
      <c r="E6" s="8">
        <f>VLOOKUP(B6,courses_program1!A:E,5,0)</f>
        <v>6</v>
      </c>
      <c r="F6" s="8" t="e">
        <f>VLOOKUP(C6,courses_program1!A:E,4,0)</f>
        <v>#N/A</v>
      </c>
      <c r="G6" s="8" t="e">
        <f>VLOOKUP(C6,courses_program1!A:E,5,0)</f>
        <v>#N/A</v>
      </c>
      <c r="H6" s="2">
        <v>0</v>
      </c>
      <c r="I6" s="2" t="e">
        <f t="shared" ca="1" si="0"/>
        <v>#NAME?</v>
      </c>
    </row>
    <row r="7" spans="1:9" x14ac:dyDescent="0.2">
      <c r="A7" s="2">
        <v>5</v>
      </c>
      <c r="B7" s="2" t="s">
        <v>21</v>
      </c>
      <c r="C7" s="2" t="s">
        <v>17</v>
      </c>
      <c r="D7" s="8">
        <f>VLOOKUP(B7,courses_program1!A:E,4,0)</f>
        <v>2</v>
      </c>
      <c r="E7" s="8">
        <f>VLOOKUP(B7,courses_program1!A:E,5,0)</f>
        <v>6</v>
      </c>
      <c r="F7" s="8">
        <f>VLOOKUP(C7,courses_program1!A:E,4,0)</f>
        <v>-2</v>
      </c>
      <c r="G7" s="8">
        <f>VLOOKUP(C7,courses_program1!A:E,5,0)</f>
        <v>0</v>
      </c>
      <c r="H7" s="2">
        <v>0</v>
      </c>
      <c r="I7" s="2" t="e">
        <f t="shared" ca="1" si="0"/>
        <v>#NAME?</v>
      </c>
    </row>
    <row r="8" spans="1:9" x14ac:dyDescent="0.2">
      <c r="A8" s="2">
        <v>6</v>
      </c>
      <c r="B8" s="2" t="s">
        <v>25</v>
      </c>
      <c r="C8" s="2" t="s">
        <v>12</v>
      </c>
      <c r="D8" s="8">
        <f>VLOOKUP(B8,courses_program1!A:E,4,0)</f>
        <v>1</v>
      </c>
      <c r="E8" s="8">
        <f>VLOOKUP(B8,courses_program1!A:E,5,0)</f>
        <v>9</v>
      </c>
      <c r="F8" s="8">
        <f>VLOOKUP(C8,courses_program1!A:E,4,0)</f>
        <v>2</v>
      </c>
      <c r="G8" s="8">
        <f>VLOOKUP(C8,courses_program1!A:E,5,0)</f>
        <v>3</v>
      </c>
      <c r="H8" s="2">
        <v>1</v>
      </c>
      <c r="I8" s="2" t="e">
        <f t="shared" ca="1" si="0"/>
        <v>#NAME?</v>
      </c>
    </row>
    <row r="9" spans="1:9" x14ac:dyDescent="0.2">
      <c r="A9" s="2">
        <v>7</v>
      </c>
      <c r="B9" s="2" t="s">
        <v>25</v>
      </c>
      <c r="C9" s="2" t="s">
        <v>55</v>
      </c>
      <c r="D9" s="8">
        <f>VLOOKUP(B9,courses_program1!A:E,4,0)</f>
        <v>1</v>
      </c>
      <c r="E9" s="8">
        <f>VLOOKUP(B9,courses_program1!A:E,5,0)</f>
        <v>9</v>
      </c>
      <c r="F9" s="8">
        <f>VLOOKUP(C9,courses_program1!A:E,4,0)</f>
        <v>2</v>
      </c>
      <c r="G9" s="8">
        <f>VLOOKUP(C9,courses_program1!A:E,5,0)</f>
        <v>12</v>
      </c>
      <c r="H9" s="2">
        <v>1</v>
      </c>
      <c r="I9" s="2" t="e">
        <f t="shared" ca="1" si="0"/>
        <v>#NAME?</v>
      </c>
    </row>
    <row r="10" spans="1:9" x14ac:dyDescent="0.2">
      <c r="A10" s="2">
        <v>8</v>
      </c>
      <c r="B10" s="2" t="s">
        <v>28</v>
      </c>
      <c r="C10" s="2" t="s">
        <v>63</v>
      </c>
      <c r="D10" s="8">
        <f>VLOOKUP(B10,courses_program1!A:E,4,0)</f>
        <v>0</v>
      </c>
      <c r="E10" s="8">
        <f>VLOOKUP(B10,courses_program1!A:E,5,0)</f>
        <v>6</v>
      </c>
      <c r="F10" s="8">
        <f>VLOOKUP(C10,courses_program1!A:E,4,0)</f>
        <v>0</v>
      </c>
      <c r="G10" s="8">
        <f>VLOOKUP(C10,courses_program1!A:E,5,0)</f>
        <v>15</v>
      </c>
      <c r="H10" s="2">
        <v>1</v>
      </c>
      <c r="I10" s="2" t="e">
        <f t="shared" ca="1" si="0"/>
        <v>#NAME?</v>
      </c>
    </row>
    <row r="11" spans="1:9" x14ac:dyDescent="0.2">
      <c r="A11" s="2">
        <v>9</v>
      </c>
      <c r="B11" s="2" t="s">
        <v>33</v>
      </c>
      <c r="C11" s="2" t="s">
        <v>6</v>
      </c>
      <c r="D11" s="8" t="e">
        <f>VLOOKUP(B11,courses_program1!A:E,4,0)</f>
        <v>#N/A</v>
      </c>
      <c r="E11" s="8" t="e">
        <f>VLOOKUP(B11,courses_program1!A:E,5,0)</f>
        <v>#N/A</v>
      </c>
      <c r="F11" s="8">
        <f>VLOOKUP(C11,courses_program1!A:E,4,0)</f>
        <v>0</v>
      </c>
      <c r="G11" s="8">
        <f>VLOOKUP(C11,courses_program1!A:E,5,0)</f>
        <v>3</v>
      </c>
      <c r="H11" s="2">
        <v>1</v>
      </c>
      <c r="I11" s="2" t="e">
        <f t="shared" ca="1" si="0"/>
        <v>#NAME?</v>
      </c>
    </row>
    <row r="12" spans="1:9" x14ac:dyDescent="0.2">
      <c r="A12" s="2">
        <v>9</v>
      </c>
      <c r="B12" s="2" t="s">
        <v>33</v>
      </c>
      <c r="C12" s="2" t="s">
        <v>16</v>
      </c>
      <c r="D12" s="8" t="e">
        <f>VLOOKUP(B12,courses_program1!A:E,4,0)</f>
        <v>#N/A</v>
      </c>
      <c r="E12" s="8" t="e">
        <f>VLOOKUP(B12,courses_program1!A:E,5,0)</f>
        <v>#N/A</v>
      </c>
      <c r="F12" s="8" t="e">
        <f>VLOOKUP(C12,courses_program1!A:E,4,0)</f>
        <v>#N/A</v>
      </c>
      <c r="G12" s="8" t="e">
        <f>VLOOKUP(C12,courses_program1!A:E,5,0)</f>
        <v>#N/A</v>
      </c>
      <c r="H12" s="2">
        <v>0</v>
      </c>
      <c r="I12" s="2" t="e">
        <f t="shared" ca="1" si="0"/>
        <v>#NAME?</v>
      </c>
    </row>
    <row r="13" spans="1:9" x14ac:dyDescent="0.2">
      <c r="A13" s="2">
        <v>9</v>
      </c>
      <c r="B13" s="2" t="s">
        <v>33</v>
      </c>
      <c r="C13" s="2" t="s">
        <v>17</v>
      </c>
      <c r="D13" s="8" t="e">
        <f>VLOOKUP(B13,courses_program1!A:E,4,0)</f>
        <v>#N/A</v>
      </c>
      <c r="E13" s="8" t="e">
        <f>VLOOKUP(B13,courses_program1!A:E,5,0)</f>
        <v>#N/A</v>
      </c>
      <c r="F13" s="8">
        <f>VLOOKUP(C13,courses_program1!A:E,4,0)</f>
        <v>-2</v>
      </c>
      <c r="G13" s="8">
        <f>VLOOKUP(C13,courses_program1!A:E,5,0)</f>
        <v>0</v>
      </c>
      <c r="H13" s="2">
        <v>0</v>
      </c>
      <c r="I13" s="2" t="e">
        <f t="shared" ca="1" si="0"/>
        <v>#NAME?</v>
      </c>
    </row>
    <row r="14" spans="1:9" x14ac:dyDescent="0.2">
      <c r="A14" s="2">
        <v>9</v>
      </c>
      <c r="B14" s="2" t="s">
        <v>33</v>
      </c>
      <c r="C14" s="2" t="s">
        <v>28</v>
      </c>
      <c r="D14" s="8" t="e">
        <f>VLOOKUP(B14,courses_program1!A:E,4,0)</f>
        <v>#N/A</v>
      </c>
      <c r="E14" s="8" t="e">
        <f>VLOOKUP(B14,courses_program1!A:E,5,0)</f>
        <v>#N/A</v>
      </c>
      <c r="F14" s="8">
        <f>VLOOKUP(C14,courses_program1!A:E,4,0)</f>
        <v>0</v>
      </c>
      <c r="G14" s="8">
        <f>VLOOKUP(C14,courses_program1!A:E,5,0)</f>
        <v>6</v>
      </c>
      <c r="H14" s="2">
        <v>1</v>
      </c>
      <c r="I14" s="2" t="e">
        <f t="shared" ca="1" si="0"/>
        <v>#NAME?</v>
      </c>
    </row>
    <row r="15" spans="1:9" x14ac:dyDescent="0.2">
      <c r="A15" s="2">
        <v>9</v>
      </c>
      <c r="B15" s="2" t="s">
        <v>33</v>
      </c>
      <c r="C15" s="2" t="s">
        <v>12</v>
      </c>
      <c r="D15" s="8" t="e">
        <f>VLOOKUP(B15,courses_program1!A:E,4,0)</f>
        <v>#N/A</v>
      </c>
      <c r="E15" s="8" t="e">
        <f>VLOOKUP(B15,courses_program1!A:E,5,0)</f>
        <v>#N/A</v>
      </c>
      <c r="F15" s="8">
        <f>VLOOKUP(C15,courses_program1!A:E,4,0)</f>
        <v>2</v>
      </c>
      <c r="G15" s="8">
        <f>VLOOKUP(C15,courses_program1!A:E,5,0)</f>
        <v>3</v>
      </c>
      <c r="H15" s="2">
        <v>1</v>
      </c>
      <c r="I15" s="2" t="e">
        <f t="shared" ca="1" si="0"/>
        <v>#NAME?</v>
      </c>
    </row>
    <row r="16" spans="1:9" x14ac:dyDescent="0.2">
      <c r="A16" s="2">
        <v>9</v>
      </c>
      <c r="B16" s="2" t="s">
        <v>33</v>
      </c>
      <c r="C16" s="2" t="s">
        <v>75</v>
      </c>
      <c r="D16" s="8" t="e">
        <f>VLOOKUP(B16,courses_program1!A:E,4,0)</f>
        <v>#N/A</v>
      </c>
      <c r="E16" s="8" t="e">
        <f>VLOOKUP(B16,courses_program1!A:E,5,0)</f>
        <v>#N/A</v>
      </c>
      <c r="F16" s="8">
        <f>VLOOKUP(C16,courses_program1!A:E,4,0)</f>
        <v>1</v>
      </c>
      <c r="G16" s="8">
        <f>VLOOKUP(C16,courses_program1!A:E,5,0)</f>
        <v>21</v>
      </c>
      <c r="H16" s="2">
        <v>1</v>
      </c>
      <c r="I16" s="2" t="e">
        <f t="shared" ca="1" si="0"/>
        <v>#NAME?</v>
      </c>
    </row>
    <row r="17" spans="1:9" x14ac:dyDescent="0.2">
      <c r="A17" s="2">
        <v>10</v>
      </c>
      <c r="B17" s="2" t="s">
        <v>34</v>
      </c>
      <c r="C17" s="2" t="s">
        <v>67</v>
      </c>
      <c r="D17" s="8">
        <f>VLOOKUP(B17,courses_program1!A:E,4,0)</f>
        <v>-1</v>
      </c>
      <c r="E17" s="8">
        <f>VLOOKUP(B17,courses_program1!A:E,5,0)</f>
        <v>9</v>
      </c>
      <c r="F17" s="8">
        <f>VLOOKUP(C17,courses_program1!A:E,4,0)</f>
        <v>0</v>
      </c>
      <c r="G17" s="8">
        <f>VLOOKUP(C17,courses_program1!A:E,5,0)</f>
        <v>12</v>
      </c>
      <c r="H17" s="2">
        <v>1</v>
      </c>
      <c r="I17" s="2" t="e">
        <f t="shared" ca="1" si="0"/>
        <v>#NAME?</v>
      </c>
    </row>
    <row r="18" spans="1:9" x14ac:dyDescent="0.2">
      <c r="A18" s="2">
        <v>11</v>
      </c>
      <c r="B18" s="2" t="s">
        <v>34</v>
      </c>
      <c r="C18" s="2" t="s">
        <v>6</v>
      </c>
      <c r="D18" s="8">
        <f>VLOOKUP(B18,courses_program1!A:E,4,0)</f>
        <v>-1</v>
      </c>
      <c r="E18" s="8">
        <f>VLOOKUP(B18,courses_program1!A:E,5,0)</f>
        <v>9</v>
      </c>
      <c r="F18" s="8">
        <f>VLOOKUP(C18,courses_program1!A:E,4,0)</f>
        <v>0</v>
      </c>
      <c r="G18" s="8">
        <f>VLOOKUP(C18,courses_program1!A:E,5,0)</f>
        <v>3</v>
      </c>
      <c r="H18" s="2">
        <v>1</v>
      </c>
      <c r="I18" s="2" t="e">
        <f t="shared" ca="1" si="0"/>
        <v>#NAME?</v>
      </c>
    </row>
    <row r="19" spans="1:9" x14ac:dyDescent="0.2">
      <c r="A19" s="2">
        <v>11</v>
      </c>
      <c r="B19" s="2" t="s">
        <v>34</v>
      </c>
      <c r="C19" s="2" t="s">
        <v>17</v>
      </c>
      <c r="D19" s="8">
        <f>VLOOKUP(B19,courses_program1!A:E,4,0)</f>
        <v>-1</v>
      </c>
      <c r="E19" s="8">
        <f>VLOOKUP(B19,courses_program1!A:E,5,0)</f>
        <v>9</v>
      </c>
      <c r="F19" s="8">
        <f>VLOOKUP(C19,courses_program1!A:E,4,0)</f>
        <v>-2</v>
      </c>
      <c r="G19" s="8">
        <f>VLOOKUP(C19,courses_program1!A:E,5,0)</f>
        <v>0</v>
      </c>
      <c r="H19" s="2">
        <v>0</v>
      </c>
      <c r="I19" s="2" t="e">
        <f t="shared" ca="1" si="0"/>
        <v>#NAME?</v>
      </c>
    </row>
    <row r="20" spans="1:9" x14ac:dyDescent="0.2">
      <c r="A20" s="2">
        <v>11</v>
      </c>
      <c r="B20" s="2" t="s">
        <v>34</v>
      </c>
      <c r="C20" s="2" t="s">
        <v>21</v>
      </c>
      <c r="D20" s="8">
        <f>VLOOKUP(B20,courses_program1!A:E,4,0)</f>
        <v>-1</v>
      </c>
      <c r="E20" s="8">
        <f>VLOOKUP(B20,courses_program1!A:E,5,0)</f>
        <v>9</v>
      </c>
      <c r="F20" s="8">
        <f>VLOOKUP(C20,courses_program1!A:E,4,0)</f>
        <v>2</v>
      </c>
      <c r="G20" s="8">
        <f>VLOOKUP(C20,courses_program1!A:E,5,0)</f>
        <v>6</v>
      </c>
      <c r="H20" s="2">
        <v>0</v>
      </c>
      <c r="I20" s="2" t="e">
        <f t="shared" ca="1" si="0"/>
        <v>#NAME?</v>
      </c>
    </row>
    <row r="21" spans="1:9" ht="15.75" customHeight="1" x14ac:dyDescent="0.2">
      <c r="A21" s="2">
        <v>12</v>
      </c>
      <c r="B21" s="2" t="s">
        <v>34</v>
      </c>
      <c r="C21" s="2" t="s">
        <v>28</v>
      </c>
      <c r="D21" s="8">
        <f>VLOOKUP(B21,courses_program1!A:E,4,0)</f>
        <v>-1</v>
      </c>
      <c r="E21" s="8">
        <f>VLOOKUP(B21,courses_program1!A:E,5,0)</f>
        <v>9</v>
      </c>
      <c r="F21" s="8">
        <f>VLOOKUP(C21,courses_program1!A:E,4,0)</f>
        <v>0</v>
      </c>
      <c r="G21" s="8">
        <f>VLOOKUP(C21,courses_program1!A:E,5,0)</f>
        <v>6</v>
      </c>
      <c r="H21" s="2">
        <v>1</v>
      </c>
      <c r="I21" s="2" t="e">
        <f t="shared" ca="1" si="0"/>
        <v>#NAME?</v>
      </c>
    </row>
    <row r="22" spans="1:9" ht="15.75" customHeight="1" x14ac:dyDescent="0.2">
      <c r="A22" s="2">
        <v>13</v>
      </c>
      <c r="B22" s="2" t="s">
        <v>38</v>
      </c>
      <c r="C22" s="2" t="s">
        <v>34</v>
      </c>
      <c r="D22" s="8" t="e">
        <f>VLOOKUP(B22,courses_program1!A:E,4,0)</f>
        <v>#N/A</v>
      </c>
      <c r="E22" s="8" t="e">
        <f>VLOOKUP(B22,courses_program1!A:E,5,0)</f>
        <v>#N/A</v>
      </c>
      <c r="F22" s="8">
        <f>VLOOKUP(C22,courses_program1!A:E,4,0)</f>
        <v>-1</v>
      </c>
      <c r="G22" s="8">
        <f>VLOOKUP(C22,courses_program1!A:E,5,0)</f>
        <v>9</v>
      </c>
      <c r="H22" s="2">
        <v>1</v>
      </c>
      <c r="I22" s="2" t="e">
        <f t="shared" ca="1" si="0"/>
        <v>#NAME?</v>
      </c>
    </row>
    <row r="23" spans="1:9" ht="15.75" customHeight="1" x14ac:dyDescent="0.2">
      <c r="A23" s="2">
        <v>14</v>
      </c>
      <c r="B23" s="2" t="s">
        <v>40</v>
      </c>
      <c r="C23" s="2" t="s">
        <v>33</v>
      </c>
      <c r="D23" s="8" t="e">
        <f>VLOOKUP(B23,courses_program1!A:E,4,0)</f>
        <v>#N/A</v>
      </c>
      <c r="E23" s="8" t="e">
        <f>VLOOKUP(B23,courses_program1!A:E,5,0)</f>
        <v>#N/A</v>
      </c>
      <c r="F23" s="8" t="e">
        <f>VLOOKUP(C23,courses_program1!A:E,4,0)</f>
        <v>#N/A</v>
      </c>
      <c r="G23" s="8" t="e">
        <f>VLOOKUP(C23,courses_program1!A:E,5,0)</f>
        <v>#N/A</v>
      </c>
      <c r="H23" s="2">
        <v>1</v>
      </c>
      <c r="I23" s="2" t="e">
        <f t="shared" ca="1" si="0"/>
        <v>#NAME?</v>
      </c>
    </row>
    <row r="24" spans="1:9" ht="15.75" customHeight="1" x14ac:dyDescent="0.2">
      <c r="A24" s="2">
        <v>15</v>
      </c>
      <c r="B24" s="2" t="s">
        <v>41</v>
      </c>
      <c r="C24" s="2" t="s">
        <v>6</v>
      </c>
      <c r="D24" s="8" t="e">
        <f>VLOOKUP(B24,courses_program1!A:E,4,0)</f>
        <v>#N/A</v>
      </c>
      <c r="E24" s="8" t="e">
        <f>VLOOKUP(B24,courses_program1!A:E,5,0)</f>
        <v>#N/A</v>
      </c>
      <c r="F24" s="8">
        <f>VLOOKUP(C24,courses_program1!A:E,4,0)</f>
        <v>0</v>
      </c>
      <c r="G24" s="8">
        <f>VLOOKUP(C24,courses_program1!A:E,5,0)</f>
        <v>3</v>
      </c>
      <c r="H24" s="2">
        <v>1</v>
      </c>
      <c r="I24" s="2" t="e">
        <f t="shared" ca="1" si="0"/>
        <v>#NAME?</v>
      </c>
    </row>
    <row r="25" spans="1:9" ht="15.75" customHeight="1" x14ac:dyDescent="0.2">
      <c r="A25" s="2">
        <v>15</v>
      </c>
      <c r="B25" s="2" t="s">
        <v>41</v>
      </c>
      <c r="C25" s="2" t="s">
        <v>17</v>
      </c>
      <c r="D25" s="8" t="e">
        <f>VLOOKUP(B25,courses_program1!A:E,4,0)</f>
        <v>#N/A</v>
      </c>
      <c r="E25" s="8" t="e">
        <f>VLOOKUP(B25,courses_program1!A:E,5,0)</f>
        <v>#N/A</v>
      </c>
      <c r="F25" s="8">
        <f>VLOOKUP(C25,courses_program1!A:E,4,0)</f>
        <v>-2</v>
      </c>
      <c r="G25" s="8">
        <f>VLOOKUP(C25,courses_program1!A:E,5,0)</f>
        <v>0</v>
      </c>
      <c r="H25" s="2">
        <v>0</v>
      </c>
      <c r="I25" s="2" t="e">
        <f t="shared" ca="1" si="0"/>
        <v>#NAME?</v>
      </c>
    </row>
    <row r="26" spans="1:9" ht="15.75" customHeight="1" x14ac:dyDescent="0.2">
      <c r="A26" s="2">
        <v>16</v>
      </c>
      <c r="B26" s="2" t="s">
        <v>42</v>
      </c>
      <c r="C26" s="2" t="s">
        <v>6</v>
      </c>
      <c r="D26" s="8" t="e">
        <f>VLOOKUP(B26,courses_program1!A:E,4,0)</f>
        <v>#N/A</v>
      </c>
      <c r="E26" s="8" t="e">
        <f>VLOOKUP(B26,courses_program1!A:E,5,0)</f>
        <v>#N/A</v>
      </c>
      <c r="F26" s="8">
        <f>VLOOKUP(C26,courses_program1!A:E,4,0)</f>
        <v>0</v>
      </c>
      <c r="G26" s="8">
        <f>VLOOKUP(C26,courses_program1!A:E,5,0)</f>
        <v>3</v>
      </c>
      <c r="H26" s="2">
        <v>1</v>
      </c>
      <c r="I26" s="2" t="e">
        <f t="shared" ca="1" si="0"/>
        <v>#NAME?</v>
      </c>
    </row>
    <row r="27" spans="1:9" ht="15.75" customHeight="1" x14ac:dyDescent="0.2">
      <c r="A27" s="2">
        <v>16</v>
      </c>
      <c r="B27" s="2" t="s">
        <v>42</v>
      </c>
      <c r="C27" s="2" t="s">
        <v>17</v>
      </c>
      <c r="D27" s="8" t="e">
        <f>VLOOKUP(B27,courses_program1!A:E,4,0)</f>
        <v>#N/A</v>
      </c>
      <c r="E27" s="8" t="e">
        <f>VLOOKUP(B27,courses_program1!A:E,5,0)</f>
        <v>#N/A</v>
      </c>
      <c r="F27" s="8">
        <f>VLOOKUP(C27,courses_program1!A:E,4,0)</f>
        <v>-2</v>
      </c>
      <c r="G27" s="8">
        <f>VLOOKUP(C27,courses_program1!A:E,5,0)</f>
        <v>0</v>
      </c>
      <c r="H27" s="2">
        <v>0</v>
      </c>
      <c r="I27" s="2" t="e">
        <f t="shared" ca="1" si="0"/>
        <v>#NAME?</v>
      </c>
    </row>
    <row r="28" spans="1:9" ht="15.75" customHeight="1" x14ac:dyDescent="0.2">
      <c r="A28" s="2">
        <v>17</v>
      </c>
      <c r="B28" s="2" t="s">
        <v>42</v>
      </c>
      <c r="C28" s="2" t="s">
        <v>28</v>
      </c>
      <c r="D28" s="8" t="e">
        <f>VLOOKUP(B28,courses_program1!A:E,4,0)</f>
        <v>#N/A</v>
      </c>
      <c r="E28" s="8" t="e">
        <f>VLOOKUP(B28,courses_program1!A:E,5,0)</f>
        <v>#N/A</v>
      </c>
      <c r="F28" s="8">
        <f>VLOOKUP(C28,courses_program1!A:E,4,0)</f>
        <v>0</v>
      </c>
      <c r="G28" s="8">
        <f>VLOOKUP(C28,courses_program1!A:E,5,0)</f>
        <v>6</v>
      </c>
      <c r="H28" s="2">
        <v>1</v>
      </c>
      <c r="I28" s="2" t="e">
        <f t="shared" ca="1" si="0"/>
        <v>#NAME?</v>
      </c>
    </row>
    <row r="29" spans="1:9" ht="15.75" customHeight="1" x14ac:dyDescent="0.2">
      <c r="A29" s="2">
        <v>18</v>
      </c>
      <c r="B29" s="2" t="s">
        <v>43</v>
      </c>
      <c r="C29" s="2" t="s">
        <v>33</v>
      </c>
      <c r="D29" s="8" t="e">
        <f>VLOOKUP(B29,courses_program1!A:E,4,0)</f>
        <v>#N/A</v>
      </c>
      <c r="E29" s="8" t="e">
        <f>VLOOKUP(B29,courses_program1!A:E,5,0)</f>
        <v>#N/A</v>
      </c>
      <c r="F29" s="8" t="e">
        <f>VLOOKUP(C29,courses_program1!A:E,4,0)</f>
        <v>#N/A</v>
      </c>
      <c r="G29" s="8" t="e">
        <f>VLOOKUP(C29,courses_program1!A:E,5,0)</f>
        <v>#N/A</v>
      </c>
      <c r="H29" s="2">
        <v>1</v>
      </c>
      <c r="I29" s="2" t="e">
        <f t="shared" ca="1" si="0"/>
        <v>#NAME?</v>
      </c>
    </row>
    <row r="30" spans="1:9" ht="15.75" customHeight="1" x14ac:dyDescent="0.2">
      <c r="A30" s="2">
        <v>19</v>
      </c>
      <c r="B30" s="2" t="s">
        <v>43</v>
      </c>
      <c r="C30" s="2" t="s">
        <v>67</v>
      </c>
      <c r="D30" s="8" t="e">
        <f>VLOOKUP(B30,courses_program1!A:E,4,0)</f>
        <v>#N/A</v>
      </c>
      <c r="E30" s="8" t="e">
        <f>VLOOKUP(B30,courses_program1!A:E,5,0)</f>
        <v>#N/A</v>
      </c>
      <c r="F30" s="8">
        <f>VLOOKUP(C30,courses_program1!A:E,4,0)</f>
        <v>0</v>
      </c>
      <c r="G30" s="8">
        <f>VLOOKUP(C30,courses_program1!A:E,5,0)</f>
        <v>12</v>
      </c>
      <c r="H30" s="2">
        <v>1</v>
      </c>
      <c r="I30" s="2" t="e">
        <f t="shared" ca="1" si="0"/>
        <v>#NAME?</v>
      </c>
    </row>
    <row r="31" spans="1:9" ht="15.75" customHeight="1" x14ac:dyDescent="0.2">
      <c r="A31" s="2">
        <v>20</v>
      </c>
      <c r="B31" s="2" t="s">
        <v>43</v>
      </c>
      <c r="C31" s="2" t="s">
        <v>34</v>
      </c>
      <c r="D31" s="8" t="e">
        <f>VLOOKUP(B31,courses_program1!A:E,4,0)</f>
        <v>#N/A</v>
      </c>
      <c r="E31" s="8" t="e">
        <f>VLOOKUP(B31,courses_program1!A:E,5,0)</f>
        <v>#N/A</v>
      </c>
      <c r="F31" s="8">
        <f>VLOOKUP(C31,courses_program1!A:E,4,0)</f>
        <v>-1</v>
      </c>
      <c r="G31" s="8">
        <f>VLOOKUP(C31,courses_program1!A:E,5,0)</f>
        <v>9</v>
      </c>
      <c r="H31" s="2">
        <v>1</v>
      </c>
      <c r="I31" s="2" t="e">
        <f t="shared" ca="1" si="0"/>
        <v>#NAME?</v>
      </c>
    </row>
    <row r="32" spans="1:9" ht="15.75" customHeight="1" x14ac:dyDescent="0.2">
      <c r="A32" s="2">
        <v>21</v>
      </c>
      <c r="B32" s="2" t="s">
        <v>44</v>
      </c>
      <c r="C32" s="2" t="s">
        <v>28</v>
      </c>
      <c r="D32" s="8" t="e">
        <f>VLOOKUP(B32,courses_program1!A:E,4,0)</f>
        <v>#N/A</v>
      </c>
      <c r="E32" s="8" t="e">
        <f>VLOOKUP(B32,courses_program1!A:E,5,0)</f>
        <v>#N/A</v>
      </c>
      <c r="F32" s="8">
        <f>VLOOKUP(C32,courses_program1!A:E,4,0)</f>
        <v>0</v>
      </c>
      <c r="G32" s="8">
        <f>VLOOKUP(C32,courses_program1!A:E,5,0)</f>
        <v>6</v>
      </c>
      <c r="H32" s="2">
        <v>1</v>
      </c>
      <c r="I32" s="2" t="e">
        <f t="shared" ca="1" si="0"/>
        <v>#NAME?</v>
      </c>
    </row>
    <row r="33" spans="1:9" ht="15.75" customHeight="1" x14ac:dyDescent="0.2">
      <c r="A33" s="2">
        <v>22</v>
      </c>
      <c r="B33" s="2" t="s">
        <v>44</v>
      </c>
      <c r="C33" s="2" t="s">
        <v>33</v>
      </c>
      <c r="D33" s="8" t="e">
        <f>VLOOKUP(B33,courses_program1!A:E,4,0)</f>
        <v>#N/A</v>
      </c>
      <c r="E33" s="8" t="e">
        <f>VLOOKUP(B33,courses_program1!A:E,5,0)</f>
        <v>#N/A</v>
      </c>
      <c r="F33" s="8" t="e">
        <f>VLOOKUP(C33,courses_program1!A:E,4,0)</f>
        <v>#N/A</v>
      </c>
      <c r="G33" s="8" t="e">
        <f>VLOOKUP(C33,courses_program1!A:E,5,0)</f>
        <v>#N/A</v>
      </c>
      <c r="H33" s="2">
        <v>1</v>
      </c>
      <c r="I33" s="2" t="e">
        <f t="shared" ca="1" si="0"/>
        <v>#NAME?</v>
      </c>
    </row>
    <row r="34" spans="1:9" ht="15.75" customHeight="1" x14ac:dyDescent="0.2">
      <c r="A34" s="2">
        <v>22</v>
      </c>
      <c r="B34" s="2" t="s">
        <v>44</v>
      </c>
      <c r="C34" s="2" t="s">
        <v>53</v>
      </c>
      <c r="D34" s="8" t="e">
        <f>VLOOKUP(B34,courses_program1!A:E,4,0)</f>
        <v>#N/A</v>
      </c>
      <c r="E34" s="8" t="e">
        <f>VLOOKUP(B34,courses_program1!A:E,5,0)</f>
        <v>#N/A</v>
      </c>
      <c r="F34" s="8" t="e">
        <f>VLOOKUP(C34,courses_program1!A:E,4,0)</f>
        <v>#N/A</v>
      </c>
      <c r="G34" s="8" t="e">
        <f>VLOOKUP(C34,courses_program1!A:E,5,0)</f>
        <v>#N/A</v>
      </c>
      <c r="H34" s="2">
        <v>0</v>
      </c>
      <c r="I34" s="2" t="e">
        <f t="shared" ca="1" si="0"/>
        <v>#NAME?</v>
      </c>
    </row>
    <row r="35" spans="1:9" ht="15.75" customHeight="1" x14ac:dyDescent="0.2">
      <c r="A35" s="2">
        <v>23</v>
      </c>
      <c r="B35" s="2" t="s">
        <v>45</v>
      </c>
      <c r="C35" s="2" t="s">
        <v>34</v>
      </c>
      <c r="D35" s="8">
        <f>VLOOKUP(B35,courses_program1!A:E,4,0)</f>
        <v>-2</v>
      </c>
      <c r="E35" s="8">
        <f>VLOOKUP(B35,courses_program1!A:E,5,0)</f>
        <v>12</v>
      </c>
      <c r="F35" s="8">
        <f>VLOOKUP(C35,courses_program1!A:E,4,0)</f>
        <v>-1</v>
      </c>
      <c r="G35" s="8">
        <f>VLOOKUP(C35,courses_program1!A:E,5,0)</f>
        <v>9</v>
      </c>
      <c r="H35" s="2">
        <v>1</v>
      </c>
      <c r="I35" s="2" t="e">
        <f t="shared" ca="1" si="0"/>
        <v>#NAME?</v>
      </c>
    </row>
    <row r="36" spans="1:9" ht="15.75" customHeight="1" x14ac:dyDescent="0.2">
      <c r="A36" s="2">
        <v>23</v>
      </c>
      <c r="B36" s="2" t="s">
        <v>45</v>
      </c>
      <c r="C36" s="2" t="s">
        <v>25</v>
      </c>
      <c r="D36" s="8">
        <f>VLOOKUP(B36,courses_program1!A:E,4,0)</f>
        <v>-2</v>
      </c>
      <c r="E36" s="8">
        <f>VLOOKUP(B36,courses_program1!A:E,5,0)</f>
        <v>12</v>
      </c>
      <c r="F36" s="8">
        <f>VLOOKUP(C36,courses_program1!A:E,4,0)</f>
        <v>1</v>
      </c>
      <c r="G36" s="8">
        <f>VLOOKUP(C36,courses_program1!A:E,5,0)</f>
        <v>9</v>
      </c>
      <c r="H36" s="2">
        <v>0</v>
      </c>
      <c r="I36" s="2" t="e">
        <f t="shared" ca="1" si="0"/>
        <v>#NAME?</v>
      </c>
    </row>
    <row r="37" spans="1:9" ht="15.75" customHeight="1" x14ac:dyDescent="0.2">
      <c r="A37" s="2">
        <v>23</v>
      </c>
      <c r="B37" s="2" t="s">
        <v>45</v>
      </c>
      <c r="C37" s="2" t="s">
        <v>67</v>
      </c>
      <c r="D37" s="8">
        <f>VLOOKUP(B37,courses_program1!A:E,4,0)</f>
        <v>-2</v>
      </c>
      <c r="E37" s="8">
        <f>VLOOKUP(B37,courses_program1!A:E,5,0)</f>
        <v>12</v>
      </c>
      <c r="F37" s="8">
        <f>VLOOKUP(C37,courses_program1!A:E,4,0)</f>
        <v>0</v>
      </c>
      <c r="G37" s="8">
        <f>VLOOKUP(C37,courses_program1!A:E,5,0)</f>
        <v>12</v>
      </c>
      <c r="H37" s="2">
        <v>1</v>
      </c>
      <c r="I37" s="2" t="e">
        <f t="shared" ca="1" si="0"/>
        <v>#NAME?</v>
      </c>
    </row>
    <row r="38" spans="1:9" ht="15.75" customHeight="1" x14ac:dyDescent="0.2">
      <c r="A38" s="2">
        <v>23</v>
      </c>
      <c r="B38" s="2" t="s">
        <v>45</v>
      </c>
      <c r="C38" s="2" t="s">
        <v>28</v>
      </c>
      <c r="D38" s="8">
        <f>VLOOKUP(B38,courses_program1!A:E,4,0)</f>
        <v>-2</v>
      </c>
      <c r="E38" s="8">
        <f>VLOOKUP(B38,courses_program1!A:E,5,0)</f>
        <v>12</v>
      </c>
      <c r="F38" s="8">
        <f>VLOOKUP(C38,courses_program1!A:E,4,0)</f>
        <v>0</v>
      </c>
      <c r="G38" s="8">
        <f>VLOOKUP(C38,courses_program1!A:E,5,0)</f>
        <v>6</v>
      </c>
      <c r="H38" s="2">
        <v>1</v>
      </c>
      <c r="I38" s="2" t="e">
        <f t="shared" ca="1" si="0"/>
        <v>#NAME?</v>
      </c>
    </row>
    <row r="39" spans="1:9" ht="15.75" customHeight="1" x14ac:dyDescent="0.2">
      <c r="A39" s="2">
        <v>24</v>
      </c>
      <c r="B39" s="2" t="s">
        <v>48</v>
      </c>
      <c r="C39" s="2" t="s">
        <v>28</v>
      </c>
      <c r="D39" s="8" t="e">
        <f>VLOOKUP(B39,courses_program1!A:E,4,0)</f>
        <v>#N/A</v>
      </c>
      <c r="E39" s="8" t="e">
        <f>VLOOKUP(B39,courses_program1!A:E,5,0)</f>
        <v>#N/A</v>
      </c>
      <c r="F39" s="8">
        <f>VLOOKUP(C39,courses_program1!A:E,4,0)</f>
        <v>0</v>
      </c>
      <c r="G39" s="8">
        <f>VLOOKUP(C39,courses_program1!A:E,5,0)</f>
        <v>6</v>
      </c>
      <c r="H39" s="2">
        <v>1</v>
      </c>
      <c r="I39" s="2" t="e">
        <f t="shared" ca="1" si="0"/>
        <v>#NAME?</v>
      </c>
    </row>
    <row r="40" spans="1:9" ht="15.75" customHeight="1" x14ac:dyDescent="0.2">
      <c r="A40" s="2">
        <v>25</v>
      </c>
      <c r="B40" s="2" t="s">
        <v>48</v>
      </c>
      <c r="C40" s="2" t="s">
        <v>6</v>
      </c>
      <c r="D40" s="8" t="e">
        <f>VLOOKUP(B40,courses_program1!A:E,4,0)</f>
        <v>#N/A</v>
      </c>
      <c r="E40" s="8" t="e">
        <f>VLOOKUP(B40,courses_program1!A:E,5,0)</f>
        <v>#N/A</v>
      </c>
      <c r="F40" s="8">
        <f>VLOOKUP(C40,courses_program1!A:E,4,0)</f>
        <v>0</v>
      </c>
      <c r="G40" s="8">
        <f>VLOOKUP(C40,courses_program1!A:E,5,0)</f>
        <v>3</v>
      </c>
      <c r="H40" s="2">
        <v>1</v>
      </c>
      <c r="I40" s="2" t="e">
        <f t="shared" ca="1" si="0"/>
        <v>#NAME?</v>
      </c>
    </row>
    <row r="41" spans="1:9" ht="15.75" customHeight="1" x14ac:dyDescent="0.2">
      <c r="A41" s="2">
        <v>25</v>
      </c>
      <c r="B41" s="2" t="s">
        <v>48</v>
      </c>
      <c r="C41" s="2" t="s">
        <v>17</v>
      </c>
      <c r="D41" s="8" t="e">
        <f>VLOOKUP(B41,courses_program1!A:E,4,0)</f>
        <v>#N/A</v>
      </c>
      <c r="E41" s="8" t="e">
        <f>VLOOKUP(B41,courses_program1!A:E,5,0)</f>
        <v>#N/A</v>
      </c>
      <c r="F41" s="8">
        <f>VLOOKUP(C41,courses_program1!A:E,4,0)</f>
        <v>-2</v>
      </c>
      <c r="G41" s="8">
        <f>VLOOKUP(C41,courses_program1!A:E,5,0)</f>
        <v>0</v>
      </c>
      <c r="H41" s="2">
        <v>0</v>
      </c>
      <c r="I41" s="2" t="e">
        <f t="shared" ca="1" si="0"/>
        <v>#NAME?</v>
      </c>
    </row>
    <row r="42" spans="1:9" ht="15.75" customHeight="1" x14ac:dyDescent="0.2">
      <c r="A42" s="2">
        <v>25</v>
      </c>
      <c r="B42" s="2" t="s">
        <v>48</v>
      </c>
      <c r="C42" s="2" t="s">
        <v>21</v>
      </c>
      <c r="D42" s="8" t="e">
        <f>VLOOKUP(B42,courses_program1!A:E,4,0)</f>
        <v>#N/A</v>
      </c>
      <c r="E42" s="8" t="e">
        <f>VLOOKUP(B42,courses_program1!A:E,5,0)</f>
        <v>#N/A</v>
      </c>
      <c r="F42" s="8">
        <f>VLOOKUP(C42,courses_program1!A:E,4,0)</f>
        <v>2</v>
      </c>
      <c r="G42" s="8">
        <f>VLOOKUP(C42,courses_program1!A:E,5,0)</f>
        <v>6</v>
      </c>
      <c r="H42" s="2">
        <v>0</v>
      </c>
      <c r="I42" s="2" t="e">
        <f t="shared" ca="1" si="0"/>
        <v>#NAME?</v>
      </c>
    </row>
    <row r="43" spans="1:9" ht="15.75" customHeight="1" x14ac:dyDescent="0.2">
      <c r="A43" s="2">
        <v>26</v>
      </c>
      <c r="B43" s="2" t="s">
        <v>48</v>
      </c>
      <c r="C43" s="2" t="s">
        <v>33</v>
      </c>
      <c r="D43" s="8" t="e">
        <f>VLOOKUP(B43,courses_program1!A:E,4,0)</f>
        <v>#N/A</v>
      </c>
      <c r="E43" s="8" t="e">
        <f>VLOOKUP(B43,courses_program1!A:E,5,0)</f>
        <v>#N/A</v>
      </c>
      <c r="F43" s="8" t="e">
        <f>VLOOKUP(C43,courses_program1!A:E,4,0)</f>
        <v>#N/A</v>
      </c>
      <c r="G43" s="8" t="e">
        <f>VLOOKUP(C43,courses_program1!A:E,5,0)</f>
        <v>#N/A</v>
      </c>
      <c r="H43" s="2">
        <v>1</v>
      </c>
      <c r="I43" s="2" t="e">
        <f t="shared" ca="1" si="0"/>
        <v>#NAME?</v>
      </c>
    </row>
    <row r="44" spans="1:9" ht="15.75" customHeight="1" x14ac:dyDescent="0.2">
      <c r="A44" s="2">
        <v>27</v>
      </c>
      <c r="B44" s="2" t="s">
        <v>49</v>
      </c>
      <c r="C44" s="2" t="s">
        <v>34</v>
      </c>
      <c r="D44" s="8" t="e">
        <f>VLOOKUP(B44,courses_program1!A:E,4,0)</f>
        <v>#N/A</v>
      </c>
      <c r="E44" s="8" t="e">
        <f>VLOOKUP(B44,courses_program1!A:E,5,0)</f>
        <v>#N/A</v>
      </c>
      <c r="F44" s="8">
        <f>VLOOKUP(C44,courses_program1!A:E,4,0)</f>
        <v>-1</v>
      </c>
      <c r="G44" s="8">
        <f>VLOOKUP(C44,courses_program1!A:E,5,0)</f>
        <v>9</v>
      </c>
      <c r="H44" s="2">
        <v>1</v>
      </c>
      <c r="I44" s="2" t="e">
        <f t="shared" ca="1" si="0"/>
        <v>#NAME?</v>
      </c>
    </row>
    <row r="45" spans="1:9" ht="15.75" customHeight="1" x14ac:dyDescent="0.2">
      <c r="A45" s="2">
        <v>28</v>
      </c>
      <c r="B45" s="2" t="s">
        <v>50</v>
      </c>
      <c r="C45" s="2" t="s">
        <v>33</v>
      </c>
      <c r="D45" s="8" t="e">
        <f>VLOOKUP(B45,courses_program1!A:E,4,0)</f>
        <v>#N/A</v>
      </c>
      <c r="E45" s="8" t="e">
        <f>VLOOKUP(B45,courses_program1!A:E,5,0)</f>
        <v>#N/A</v>
      </c>
      <c r="F45" s="8" t="e">
        <f>VLOOKUP(C45,courses_program1!A:E,4,0)</f>
        <v>#N/A</v>
      </c>
      <c r="G45" s="8" t="e">
        <f>VLOOKUP(C45,courses_program1!A:E,5,0)</f>
        <v>#N/A</v>
      </c>
      <c r="H45" s="2">
        <v>1</v>
      </c>
      <c r="I45" s="2" t="e">
        <f t="shared" ca="1" si="0"/>
        <v>#NAME?</v>
      </c>
    </row>
    <row r="46" spans="1:9" ht="15.75" customHeight="1" x14ac:dyDescent="0.2">
      <c r="A46" s="2">
        <v>30</v>
      </c>
      <c r="B46" s="2" t="s">
        <v>52</v>
      </c>
      <c r="C46" s="2" t="s">
        <v>34</v>
      </c>
      <c r="D46" s="8" t="e">
        <f>VLOOKUP(B46,courses_program1!A:E,4,0)</f>
        <v>#N/A</v>
      </c>
      <c r="E46" s="8" t="e">
        <f>VLOOKUP(B46,courses_program1!A:E,5,0)</f>
        <v>#N/A</v>
      </c>
      <c r="F46" s="8">
        <f>VLOOKUP(C46,courses_program1!A:E,4,0)</f>
        <v>-1</v>
      </c>
      <c r="G46" s="8">
        <f>VLOOKUP(C46,courses_program1!A:E,5,0)</f>
        <v>9</v>
      </c>
      <c r="H46" s="2">
        <v>1</v>
      </c>
      <c r="I46" s="2" t="e">
        <f t="shared" ca="1" si="0"/>
        <v>#NAME?</v>
      </c>
    </row>
    <row r="47" spans="1:9" ht="15.75" customHeight="1" x14ac:dyDescent="0.2">
      <c r="A47" s="2">
        <v>31</v>
      </c>
      <c r="B47" s="2" t="s">
        <v>53</v>
      </c>
      <c r="C47" s="2" t="s">
        <v>71</v>
      </c>
      <c r="D47" s="8" t="e">
        <f>VLOOKUP(B47,courses_program1!A:E,4,0)</f>
        <v>#N/A</v>
      </c>
      <c r="E47" s="8" t="e">
        <f>VLOOKUP(B47,courses_program1!A:E,5,0)</f>
        <v>#N/A</v>
      </c>
      <c r="F47" s="8" t="e">
        <f>VLOOKUP(C47,courses_program1!A:E,4,0)</f>
        <v>#N/A</v>
      </c>
      <c r="G47" s="8" t="e">
        <f>VLOOKUP(C47,courses_program1!A:E,5,0)</f>
        <v>#N/A</v>
      </c>
      <c r="H47" s="2">
        <v>1</v>
      </c>
      <c r="I47" s="2" t="e">
        <f t="shared" ca="1" si="0"/>
        <v>#NAME?</v>
      </c>
    </row>
    <row r="48" spans="1:9" ht="15.75" customHeight="1" x14ac:dyDescent="0.2">
      <c r="A48" s="2">
        <v>32</v>
      </c>
      <c r="B48" s="2" t="s">
        <v>53</v>
      </c>
      <c r="C48" s="2" t="s">
        <v>33</v>
      </c>
      <c r="D48" s="8" t="e">
        <f>VLOOKUP(B48,courses_program1!A:E,4,0)</f>
        <v>#N/A</v>
      </c>
      <c r="E48" s="8" t="e">
        <f>VLOOKUP(B48,courses_program1!A:E,5,0)</f>
        <v>#N/A</v>
      </c>
      <c r="F48" s="8" t="e">
        <f>VLOOKUP(C48,courses_program1!A:E,4,0)</f>
        <v>#N/A</v>
      </c>
      <c r="G48" s="8" t="e">
        <f>VLOOKUP(C48,courses_program1!A:E,5,0)</f>
        <v>#N/A</v>
      </c>
      <c r="H48" s="2">
        <v>1</v>
      </c>
      <c r="I48" s="2" t="e">
        <f t="shared" ca="1" si="0"/>
        <v>#NAME?</v>
      </c>
    </row>
    <row r="49" spans="1:9" ht="15.75" customHeight="1" x14ac:dyDescent="0.2">
      <c r="A49" s="2">
        <v>33</v>
      </c>
      <c r="B49" s="2" t="s">
        <v>53</v>
      </c>
      <c r="C49" s="2" t="s">
        <v>67</v>
      </c>
      <c r="D49" s="8" t="e">
        <f>VLOOKUP(B49,courses_program1!A:E,4,0)</f>
        <v>#N/A</v>
      </c>
      <c r="E49" s="8" t="e">
        <f>VLOOKUP(B49,courses_program1!A:E,5,0)</f>
        <v>#N/A</v>
      </c>
      <c r="F49" s="8">
        <f>VLOOKUP(C49,courses_program1!A:E,4,0)</f>
        <v>0</v>
      </c>
      <c r="G49" s="8">
        <f>VLOOKUP(C49,courses_program1!A:E,5,0)</f>
        <v>12</v>
      </c>
      <c r="H49" s="2">
        <v>1</v>
      </c>
      <c r="I49" s="2" t="e">
        <f t="shared" ca="1" si="0"/>
        <v>#NAME?</v>
      </c>
    </row>
    <row r="50" spans="1:9" ht="15.75" customHeight="1" x14ac:dyDescent="0.2">
      <c r="A50" s="2">
        <v>34</v>
      </c>
      <c r="B50" s="2" t="s">
        <v>54</v>
      </c>
      <c r="C50" s="2" t="s">
        <v>53</v>
      </c>
      <c r="D50" s="8" t="e">
        <f>VLOOKUP(B50,courses_program1!A:E,4,0)</f>
        <v>#N/A</v>
      </c>
      <c r="E50" s="8" t="e">
        <f>VLOOKUP(B50,courses_program1!A:E,5,0)</f>
        <v>#N/A</v>
      </c>
      <c r="F50" s="8" t="e">
        <f>VLOOKUP(C50,courses_program1!A:E,4,0)</f>
        <v>#N/A</v>
      </c>
      <c r="G50" s="8" t="e">
        <f>VLOOKUP(C50,courses_program1!A:E,5,0)</f>
        <v>#N/A</v>
      </c>
      <c r="H50" s="2">
        <v>1</v>
      </c>
      <c r="I50" s="2" t="e">
        <f t="shared" ca="1" si="0"/>
        <v>#NAME?</v>
      </c>
    </row>
    <row r="51" spans="1:9" ht="15.75" customHeight="1" x14ac:dyDescent="0.2">
      <c r="A51" s="2">
        <v>36</v>
      </c>
      <c r="B51" s="2" t="s">
        <v>59</v>
      </c>
      <c r="C51" s="2" t="s">
        <v>55</v>
      </c>
      <c r="D51" s="8">
        <f>VLOOKUP(B51,courses_program1!A:E,4,0)</f>
        <v>2</v>
      </c>
      <c r="E51" s="8">
        <f>VLOOKUP(B51,courses_program1!A:E,5,0)</f>
        <v>15</v>
      </c>
      <c r="F51" s="8">
        <f>VLOOKUP(C51,courses_program1!A:E,4,0)</f>
        <v>2</v>
      </c>
      <c r="G51" s="8">
        <f>VLOOKUP(C51,courses_program1!A:E,5,0)</f>
        <v>12</v>
      </c>
      <c r="H51" s="2">
        <v>1</v>
      </c>
      <c r="I51" s="2" t="e">
        <f t="shared" ca="1" si="0"/>
        <v>#NAME?</v>
      </c>
    </row>
    <row r="52" spans="1:9" ht="15.75" customHeight="1" x14ac:dyDescent="0.2">
      <c r="A52" s="2">
        <v>37</v>
      </c>
      <c r="B52" s="2" t="s">
        <v>63</v>
      </c>
      <c r="C52" s="2" t="s">
        <v>59</v>
      </c>
      <c r="D52" s="8">
        <f>VLOOKUP(B52,courses_program1!A:E,4,0)</f>
        <v>0</v>
      </c>
      <c r="E52" s="8">
        <f>VLOOKUP(B52,courses_program1!A:E,5,0)</f>
        <v>15</v>
      </c>
      <c r="F52" s="8">
        <f>VLOOKUP(C52,courses_program1!A:E,4,0)</f>
        <v>2</v>
      </c>
      <c r="G52" s="8">
        <f>VLOOKUP(C52,courses_program1!A:E,5,0)</f>
        <v>15</v>
      </c>
      <c r="H52" s="2">
        <v>1</v>
      </c>
      <c r="I52" s="2" t="e">
        <f t="shared" ca="1" si="0"/>
        <v>#NAME?</v>
      </c>
    </row>
    <row r="53" spans="1:9" ht="15.75" customHeight="1" x14ac:dyDescent="0.2">
      <c r="A53" s="2">
        <v>38</v>
      </c>
      <c r="B53" s="2" t="s">
        <v>67</v>
      </c>
      <c r="C53" s="2" t="s">
        <v>55</v>
      </c>
      <c r="D53" s="8">
        <f>VLOOKUP(B53,courses_program1!A:E,4,0)</f>
        <v>0</v>
      </c>
      <c r="E53" s="8">
        <f>VLOOKUP(B53,courses_program1!A:E,5,0)</f>
        <v>12</v>
      </c>
      <c r="F53" s="8">
        <f>VLOOKUP(C53,courses_program1!A:E,4,0)</f>
        <v>2</v>
      </c>
      <c r="G53" s="8">
        <f>VLOOKUP(C53,courses_program1!A:E,5,0)</f>
        <v>12</v>
      </c>
      <c r="H53" s="2">
        <v>1</v>
      </c>
      <c r="I53" s="2" t="e">
        <f t="shared" ca="1" si="0"/>
        <v>#NAME?</v>
      </c>
    </row>
    <row r="54" spans="1:9" ht="15.75" customHeight="1" x14ac:dyDescent="0.2">
      <c r="A54" s="2">
        <v>39</v>
      </c>
      <c r="B54" s="2" t="s">
        <v>71</v>
      </c>
      <c r="C54" s="2" t="s">
        <v>63</v>
      </c>
      <c r="D54" s="8" t="e">
        <f>VLOOKUP(B54,courses_program1!A:E,4,0)</f>
        <v>#N/A</v>
      </c>
      <c r="E54" s="8" t="e">
        <f>VLOOKUP(B54,courses_program1!A:E,5,0)</f>
        <v>#N/A</v>
      </c>
      <c r="F54" s="8">
        <f>VLOOKUP(C54,courses_program1!A:E,4,0)</f>
        <v>0</v>
      </c>
      <c r="G54" s="8">
        <f>VLOOKUP(C54,courses_program1!A:E,5,0)</f>
        <v>15</v>
      </c>
      <c r="H54" s="2">
        <v>1</v>
      </c>
      <c r="I54" s="2" t="e">
        <f t="shared" ca="1" si="0"/>
        <v>#NAME?</v>
      </c>
    </row>
    <row r="55" spans="1:9" ht="15.75" customHeight="1" x14ac:dyDescent="0.2">
      <c r="A55" s="2">
        <v>41</v>
      </c>
      <c r="B55" s="2" t="s">
        <v>75</v>
      </c>
      <c r="C55" s="2" t="s">
        <v>72</v>
      </c>
      <c r="D55" s="8">
        <f>VLOOKUP(B55,courses_program1!A:E,4,0)</f>
        <v>1</v>
      </c>
      <c r="E55" s="8">
        <f>VLOOKUP(B55,courses_program1!A:E,5,0)</f>
        <v>21</v>
      </c>
      <c r="F55" s="8">
        <f>VLOOKUP(C55,courses_program1!A:E,4,0)</f>
        <v>0</v>
      </c>
      <c r="G55" s="8">
        <f>VLOOKUP(C55,courses_program1!A:E,5,0)</f>
        <v>18</v>
      </c>
      <c r="H55" s="2">
        <v>1</v>
      </c>
      <c r="I55" s="2" t="e">
        <f t="shared" ca="1" si="0"/>
        <v>#NAME?</v>
      </c>
    </row>
    <row r="56" spans="1:9" ht="15.75" customHeight="1" x14ac:dyDescent="0.2">
      <c r="D56" s="8"/>
      <c r="E56" s="8"/>
      <c r="F56" s="8"/>
      <c r="G56" s="8"/>
    </row>
    <row r="57" spans="1:9" ht="15.75" customHeight="1" x14ac:dyDescent="0.2">
      <c r="D57" s="8"/>
      <c r="E57" s="8"/>
      <c r="F57" s="8"/>
      <c r="G57" s="8"/>
    </row>
    <row r="58" spans="1:9" ht="15.75" customHeight="1" x14ac:dyDescent="0.2">
      <c r="D58" s="8"/>
      <c r="E58" s="8"/>
      <c r="F58" s="8"/>
      <c r="G58" s="8"/>
    </row>
    <row r="59" spans="1:9" ht="15.75" customHeight="1" x14ac:dyDescent="0.2">
      <c r="D59" s="8"/>
      <c r="E59" s="8"/>
      <c r="F59" s="8"/>
      <c r="G59" s="8"/>
    </row>
    <row r="60" spans="1:9" ht="15.75" customHeight="1" x14ac:dyDescent="0.2">
      <c r="D60" s="8"/>
      <c r="E60" s="8"/>
      <c r="F60" s="8"/>
      <c r="G60" s="8"/>
    </row>
    <row r="61" spans="1:9" ht="15.75" customHeight="1" x14ac:dyDescent="0.2">
      <c r="D61" s="8"/>
      <c r="E61" s="8"/>
      <c r="F61" s="8"/>
      <c r="G61" s="8"/>
    </row>
    <row r="62" spans="1:9" ht="15.75" customHeight="1" x14ac:dyDescent="0.2">
      <c r="D62" s="8"/>
      <c r="E62" s="8"/>
      <c r="F62" s="8"/>
      <c r="G62" s="8"/>
    </row>
    <row r="63" spans="1:9" ht="15.75" customHeight="1" x14ac:dyDescent="0.2">
      <c r="D63" s="8"/>
      <c r="E63" s="8"/>
      <c r="F63" s="8"/>
      <c r="G63" s="8"/>
    </row>
    <row r="64" spans="1:9" ht="15.75" customHeight="1" x14ac:dyDescent="0.2">
      <c r="D64" s="8"/>
      <c r="E64" s="8"/>
      <c r="F64" s="8"/>
      <c r="G64" s="8"/>
    </row>
    <row r="65" spans="4:8" ht="15.75" customHeight="1" x14ac:dyDescent="0.2">
      <c r="D65" s="8"/>
      <c r="E65" s="8"/>
      <c r="F65" s="8"/>
      <c r="G65" s="8"/>
    </row>
    <row r="66" spans="4:8" ht="15.75" customHeight="1" x14ac:dyDescent="0.2">
      <c r="D66" s="8"/>
      <c r="E66" s="8"/>
      <c r="F66" s="8"/>
      <c r="G66" s="8"/>
    </row>
    <row r="67" spans="4:8" ht="15.75" customHeight="1" x14ac:dyDescent="0.2">
      <c r="D67" s="8"/>
      <c r="E67" s="8"/>
      <c r="F67" s="8"/>
      <c r="G67" s="8"/>
    </row>
    <row r="68" spans="4:8" ht="15.75" customHeight="1" x14ac:dyDescent="0.2">
      <c r="D68" s="8"/>
      <c r="E68" s="8"/>
      <c r="F68" s="8"/>
      <c r="G68" s="8"/>
    </row>
    <row r="69" spans="4:8" ht="15.75" customHeight="1" x14ac:dyDescent="0.2">
      <c r="D69" s="8"/>
      <c r="E69" s="8"/>
      <c r="F69" s="8"/>
      <c r="G69" s="8"/>
    </row>
    <row r="70" spans="4:8" ht="15.75" customHeight="1" x14ac:dyDescent="0.2">
      <c r="D70" s="8"/>
      <c r="E70" s="8"/>
      <c r="F70" s="8"/>
      <c r="G70" s="8"/>
    </row>
    <row r="71" spans="4:8" ht="15.75" customHeight="1" x14ac:dyDescent="0.2">
      <c r="D71" s="8"/>
      <c r="E71" s="8"/>
      <c r="F71" s="8"/>
      <c r="G71" s="8"/>
    </row>
    <row r="72" spans="4:8" ht="15.75" customHeight="1" x14ac:dyDescent="0.2">
      <c r="D72" s="8"/>
      <c r="E72" s="8"/>
      <c r="F72" s="8"/>
      <c r="G72" s="8"/>
    </row>
    <row r="73" spans="4:8" ht="15.75" customHeight="1" x14ac:dyDescent="0.2">
      <c r="D73" s="8"/>
      <c r="E73" s="8"/>
      <c r="F73" s="8"/>
      <c r="G73" s="8"/>
    </row>
    <row r="74" spans="4:8" ht="15.75" customHeight="1" x14ac:dyDescent="0.2">
      <c r="D74" s="8"/>
      <c r="E74" s="8"/>
      <c r="F74" s="8"/>
      <c r="G74" s="8"/>
      <c r="H74" s="7"/>
    </row>
    <row r="75" spans="4:8" ht="15.75" customHeight="1" x14ac:dyDescent="0.2"/>
    <row r="76" spans="4:8" ht="15.75" customHeight="1" x14ac:dyDescent="0.2"/>
    <row r="77" spans="4:8" ht="15.75" customHeight="1" x14ac:dyDescent="0.2"/>
    <row r="78" spans="4:8" ht="15.75" customHeight="1" x14ac:dyDescent="0.2"/>
    <row r="79" spans="4:8" ht="15.75" customHeight="1" x14ac:dyDescent="0.2"/>
    <row r="80" spans="4: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00"/>
  <sheetViews>
    <sheetView workbookViewId="0"/>
  </sheetViews>
  <sheetFormatPr baseColWidth="10" defaultColWidth="14.5" defaultRowHeight="15" customHeight="1" x14ac:dyDescent="0.2"/>
  <cols>
    <col min="1" max="7" width="10.6640625" customWidth="1"/>
  </cols>
  <sheetData>
    <row r="1" spans="1:7" ht="16" x14ac:dyDescent="0.2">
      <c r="A1" s="7" t="s">
        <v>150</v>
      </c>
      <c r="B1" s="7" t="s">
        <v>110</v>
      </c>
      <c r="C1" s="7" t="s">
        <v>111</v>
      </c>
      <c r="D1" s="7" t="s">
        <v>151</v>
      </c>
      <c r="E1" s="7" t="s">
        <v>152</v>
      </c>
      <c r="F1" s="7" t="s">
        <v>153</v>
      </c>
      <c r="G1" s="7" t="s">
        <v>154</v>
      </c>
    </row>
    <row r="2" spans="1:7" ht="409.6" x14ac:dyDescent="0.2">
      <c r="A2" s="7">
        <v>1</v>
      </c>
      <c r="B2" s="7">
        <v>2</v>
      </c>
      <c r="C2" s="7" t="s">
        <v>155</v>
      </c>
      <c r="D2" s="7" t="s">
        <v>156</v>
      </c>
      <c r="E2" s="7" t="s">
        <v>157</v>
      </c>
      <c r="F2" s="11" t="s">
        <v>158</v>
      </c>
      <c r="G2" s="11" t="s">
        <v>159</v>
      </c>
    </row>
    <row r="3" spans="1:7" ht="409.6" x14ac:dyDescent="0.2">
      <c r="A3" s="7">
        <v>2</v>
      </c>
      <c r="B3" s="7">
        <v>2</v>
      </c>
      <c r="C3" s="7" t="s">
        <v>160</v>
      </c>
      <c r="D3" s="7" t="s">
        <v>161</v>
      </c>
      <c r="E3" s="7" t="s">
        <v>162</v>
      </c>
      <c r="F3" s="11" t="s">
        <v>163</v>
      </c>
      <c r="G3" s="11" t="s">
        <v>159</v>
      </c>
    </row>
    <row r="4" spans="1:7" ht="409.6" x14ac:dyDescent="0.2">
      <c r="A4" s="7">
        <v>3</v>
      </c>
      <c r="B4" s="7">
        <v>2</v>
      </c>
      <c r="C4" s="7" t="s">
        <v>164</v>
      </c>
      <c r="D4" s="7" t="s">
        <v>165</v>
      </c>
      <c r="E4" s="7" t="s">
        <v>166</v>
      </c>
      <c r="F4" s="11" t="s">
        <v>167</v>
      </c>
      <c r="G4" s="11" t="s">
        <v>159</v>
      </c>
    </row>
    <row r="5" spans="1:7" ht="409.6" x14ac:dyDescent="0.2">
      <c r="A5" s="7">
        <v>4</v>
      </c>
      <c r="B5" s="7">
        <v>2</v>
      </c>
      <c r="C5" s="7" t="s">
        <v>168</v>
      </c>
      <c r="D5" s="7" t="s">
        <v>169</v>
      </c>
      <c r="E5" s="7" t="s">
        <v>170</v>
      </c>
      <c r="F5" s="11" t="s">
        <v>171</v>
      </c>
      <c r="G5" s="11" t="s">
        <v>159</v>
      </c>
    </row>
    <row r="6" spans="1:7" ht="409.6" x14ac:dyDescent="0.2">
      <c r="A6" s="7">
        <v>5</v>
      </c>
      <c r="B6" s="7">
        <v>2</v>
      </c>
      <c r="C6" s="7" t="s">
        <v>172</v>
      </c>
      <c r="D6" s="7" t="s">
        <v>173</v>
      </c>
      <c r="E6" s="7" t="s">
        <v>174</v>
      </c>
      <c r="F6" s="11" t="s">
        <v>175</v>
      </c>
      <c r="G6" s="11" t="s">
        <v>159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4.5" defaultRowHeight="15" customHeight="1" x14ac:dyDescent="0.2"/>
  <cols>
    <col min="1" max="3" width="12.6640625" customWidth="1"/>
    <col min="4" max="4" width="26.83203125" customWidth="1"/>
    <col min="5" max="5" width="23" customWidth="1"/>
    <col min="6" max="7" width="29.1640625" customWidth="1"/>
    <col min="8" max="8" width="24.6640625" customWidth="1"/>
    <col min="9" max="9" width="22.6640625" customWidth="1"/>
    <col min="10" max="10" width="74.6640625" customWidth="1"/>
    <col min="11" max="26" width="10.6640625" customWidth="1"/>
  </cols>
  <sheetData>
    <row r="1" spans="1:26" ht="16" x14ac:dyDescent="0.2">
      <c r="A1" s="12" t="s">
        <v>176</v>
      </c>
      <c r="B1" s="12" t="s">
        <v>110</v>
      </c>
      <c r="C1" s="12" t="s">
        <v>150</v>
      </c>
      <c r="D1" s="12" t="s">
        <v>177</v>
      </c>
      <c r="E1" s="12" t="s">
        <v>111</v>
      </c>
      <c r="F1" s="12" t="s">
        <v>178</v>
      </c>
      <c r="G1" s="12" t="s">
        <v>179</v>
      </c>
      <c r="H1" s="12" t="s">
        <v>151</v>
      </c>
      <c r="I1" s="12" t="s">
        <v>180</v>
      </c>
      <c r="J1" s="12" t="s">
        <v>181</v>
      </c>
      <c r="K1" s="12"/>
      <c r="L1" s="12"/>
      <c r="M1" s="12"/>
      <c r="N1" s="12"/>
      <c r="O1" s="12"/>
      <c r="P1" s="12"/>
      <c r="Q1" s="12"/>
      <c r="R1" s="12"/>
      <c r="S1" s="12"/>
      <c r="T1" s="12"/>
      <c r="U1" s="12"/>
      <c r="V1" s="12"/>
      <c r="W1" s="12"/>
      <c r="X1" s="12"/>
      <c r="Y1" s="12"/>
      <c r="Z1" s="12"/>
    </row>
    <row r="2" spans="1:26" ht="96" x14ac:dyDescent="0.2">
      <c r="A2" s="12">
        <v>1</v>
      </c>
      <c r="B2" s="12">
        <v>2</v>
      </c>
      <c r="C2" s="12">
        <v>1</v>
      </c>
      <c r="D2" s="12" t="s">
        <v>182</v>
      </c>
      <c r="E2" s="12" t="s">
        <v>183</v>
      </c>
      <c r="F2" s="12" t="s">
        <v>184</v>
      </c>
      <c r="G2" s="12" t="s">
        <v>185</v>
      </c>
      <c r="H2" s="12" t="s">
        <v>186</v>
      </c>
      <c r="I2" s="12" t="s">
        <v>187</v>
      </c>
      <c r="J2" s="12" t="s">
        <v>188</v>
      </c>
      <c r="K2" s="12"/>
      <c r="L2" s="12"/>
      <c r="M2" s="12"/>
      <c r="N2" s="12"/>
      <c r="O2" s="12"/>
      <c r="P2" s="12"/>
      <c r="Q2" s="12"/>
      <c r="R2" s="12"/>
      <c r="S2" s="12"/>
      <c r="T2" s="12"/>
      <c r="U2" s="12"/>
      <c r="V2" s="12"/>
      <c r="W2" s="12"/>
      <c r="X2" s="12"/>
      <c r="Y2" s="12"/>
      <c r="Z2" s="12"/>
    </row>
    <row r="3" spans="1:26" ht="112" x14ac:dyDescent="0.2">
      <c r="A3" s="12">
        <v>2</v>
      </c>
      <c r="B3" s="12">
        <v>2</v>
      </c>
      <c r="C3" s="12">
        <v>2</v>
      </c>
      <c r="D3" s="12" t="s">
        <v>189</v>
      </c>
      <c r="E3" s="12" t="s">
        <v>190</v>
      </c>
      <c r="F3" s="12" t="s">
        <v>191</v>
      </c>
      <c r="G3" s="12" t="s">
        <v>192</v>
      </c>
      <c r="H3" s="12" t="s">
        <v>193</v>
      </c>
      <c r="I3" s="12" t="s">
        <v>194</v>
      </c>
      <c r="J3" s="12" t="s">
        <v>194</v>
      </c>
      <c r="K3" s="12"/>
      <c r="L3" s="12"/>
      <c r="M3" s="12"/>
      <c r="N3" s="12"/>
      <c r="O3" s="12"/>
      <c r="P3" s="12"/>
      <c r="Q3" s="12"/>
      <c r="R3" s="12"/>
      <c r="S3" s="12"/>
      <c r="T3" s="12"/>
      <c r="U3" s="12"/>
      <c r="V3" s="12"/>
      <c r="W3" s="12"/>
      <c r="X3" s="12"/>
      <c r="Y3" s="12"/>
      <c r="Z3" s="12"/>
    </row>
    <row r="4" spans="1:26" ht="192" x14ac:dyDescent="0.2">
      <c r="A4" s="12">
        <v>3</v>
      </c>
      <c r="B4" s="12">
        <v>2</v>
      </c>
      <c r="C4" s="12">
        <v>3</v>
      </c>
      <c r="D4" s="12" t="s">
        <v>195</v>
      </c>
      <c r="E4" s="12" t="s">
        <v>196</v>
      </c>
      <c r="F4" s="12" t="s">
        <v>197</v>
      </c>
      <c r="G4" s="12" t="s">
        <v>198</v>
      </c>
      <c r="H4" s="12" t="s">
        <v>199</v>
      </c>
      <c r="I4" s="12" t="s">
        <v>200</v>
      </c>
      <c r="J4" s="12" t="s">
        <v>201</v>
      </c>
      <c r="K4" s="12"/>
      <c r="L4" s="12"/>
      <c r="M4" s="12"/>
      <c r="N4" s="12"/>
      <c r="O4" s="12"/>
      <c r="P4" s="12"/>
      <c r="Q4" s="12"/>
      <c r="R4" s="12"/>
      <c r="S4" s="12"/>
      <c r="T4" s="12"/>
      <c r="U4" s="12"/>
      <c r="V4" s="12"/>
      <c r="W4" s="12"/>
      <c r="X4" s="12"/>
      <c r="Y4" s="12"/>
      <c r="Z4" s="12"/>
    </row>
    <row r="5" spans="1:26" ht="112" x14ac:dyDescent="0.2">
      <c r="A5" s="12">
        <v>4</v>
      </c>
      <c r="B5" s="12">
        <v>2</v>
      </c>
      <c r="C5" s="12">
        <v>4</v>
      </c>
      <c r="D5" s="12" t="s">
        <v>202</v>
      </c>
      <c r="E5" s="12" t="s">
        <v>203</v>
      </c>
      <c r="F5" s="12" t="s">
        <v>204</v>
      </c>
      <c r="G5" s="12" t="s">
        <v>185</v>
      </c>
      <c r="H5" s="12" t="s">
        <v>205</v>
      </c>
      <c r="I5" s="12" t="s">
        <v>206</v>
      </c>
      <c r="J5" s="12" t="s">
        <v>207</v>
      </c>
      <c r="K5" s="12"/>
      <c r="L5" s="12"/>
      <c r="M5" s="12"/>
      <c r="N5" s="12"/>
      <c r="O5" s="12"/>
      <c r="P5" s="12"/>
      <c r="Q5" s="12"/>
      <c r="R5" s="12"/>
      <c r="S5" s="12"/>
      <c r="T5" s="12"/>
      <c r="U5" s="12"/>
      <c r="V5" s="12"/>
      <c r="W5" s="12"/>
      <c r="X5" s="12"/>
      <c r="Y5" s="12"/>
      <c r="Z5" s="12"/>
    </row>
    <row r="6" spans="1:26" ht="112" x14ac:dyDescent="0.2">
      <c r="A6" s="12">
        <v>5</v>
      </c>
      <c r="B6" s="12">
        <v>2</v>
      </c>
      <c r="C6" s="12">
        <v>5</v>
      </c>
      <c r="D6" s="12" t="s">
        <v>208</v>
      </c>
      <c r="E6" s="12" t="s">
        <v>209</v>
      </c>
      <c r="F6" s="12" t="s">
        <v>210</v>
      </c>
      <c r="G6" s="12" t="s">
        <v>211</v>
      </c>
      <c r="H6" s="12" t="s">
        <v>212</v>
      </c>
      <c r="I6" s="12" t="s">
        <v>213</v>
      </c>
      <c r="J6" s="12" t="s">
        <v>214</v>
      </c>
      <c r="K6" s="12"/>
      <c r="L6" s="12"/>
      <c r="M6" s="12"/>
      <c r="N6" s="12"/>
      <c r="O6" s="12"/>
      <c r="P6" s="12"/>
      <c r="Q6" s="12"/>
      <c r="R6" s="12"/>
      <c r="S6" s="12"/>
      <c r="T6" s="12"/>
      <c r="U6" s="12"/>
      <c r="V6" s="12"/>
      <c r="W6" s="12"/>
      <c r="X6" s="12"/>
      <c r="Y6" s="12"/>
      <c r="Z6" s="12"/>
    </row>
    <row r="7" spans="1:26" ht="96" x14ac:dyDescent="0.2">
      <c r="A7" s="12">
        <v>6</v>
      </c>
      <c r="B7" s="12">
        <v>1</v>
      </c>
      <c r="C7" s="12"/>
      <c r="D7" s="12" t="s">
        <v>215</v>
      </c>
      <c r="E7" s="12" t="s">
        <v>216</v>
      </c>
      <c r="F7" s="12" t="s">
        <v>217</v>
      </c>
      <c r="G7" s="12" t="s">
        <v>211</v>
      </c>
      <c r="H7" s="12" t="s">
        <v>218</v>
      </c>
      <c r="I7" s="12" t="s">
        <v>219</v>
      </c>
      <c r="J7" s="12" t="s">
        <v>220</v>
      </c>
      <c r="K7" s="12"/>
      <c r="L7" s="12"/>
      <c r="M7" s="12"/>
      <c r="N7" s="12"/>
      <c r="O7" s="12"/>
      <c r="P7" s="12"/>
      <c r="Q7" s="12"/>
      <c r="R7" s="12"/>
      <c r="S7" s="12"/>
      <c r="T7" s="12"/>
      <c r="U7" s="12"/>
      <c r="V7" s="12"/>
      <c r="W7" s="12"/>
      <c r="X7" s="12"/>
      <c r="Y7" s="12"/>
      <c r="Z7" s="12"/>
    </row>
    <row r="8" spans="1:26" ht="240" x14ac:dyDescent="0.2">
      <c r="A8" s="12">
        <v>7</v>
      </c>
      <c r="B8" s="12">
        <v>2</v>
      </c>
      <c r="C8" s="12">
        <v>1</v>
      </c>
      <c r="D8" s="12" t="s">
        <v>221</v>
      </c>
      <c r="E8" s="12" t="s">
        <v>222</v>
      </c>
      <c r="F8" s="12" t="s">
        <v>223</v>
      </c>
      <c r="G8" s="12" t="s">
        <v>211</v>
      </c>
      <c r="H8" s="12" t="s">
        <v>224</v>
      </c>
      <c r="I8" s="12" t="s">
        <v>225</v>
      </c>
      <c r="J8" s="12" t="s">
        <v>226</v>
      </c>
      <c r="K8" s="12"/>
      <c r="L8" s="12"/>
      <c r="M8" s="12"/>
      <c r="N8" s="12"/>
      <c r="O8" s="12"/>
      <c r="P8" s="12"/>
      <c r="Q8" s="12"/>
      <c r="R8" s="12"/>
      <c r="S8" s="12"/>
      <c r="T8" s="12"/>
      <c r="U8" s="12"/>
      <c r="V8" s="12"/>
      <c r="W8" s="12"/>
      <c r="X8" s="12"/>
      <c r="Y8" s="12"/>
      <c r="Z8" s="12"/>
    </row>
    <row r="9" spans="1:26" ht="160" x14ac:dyDescent="0.2">
      <c r="A9" s="12">
        <v>8</v>
      </c>
      <c r="B9" s="12">
        <v>2</v>
      </c>
      <c r="C9" s="12">
        <v>4</v>
      </c>
      <c r="D9" s="12" t="s">
        <v>227</v>
      </c>
      <c r="E9" s="12" t="s">
        <v>228</v>
      </c>
      <c r="F9" s="12" t="s">
        <v>229</v>
      </c>
      <c r="G9" s="12" t="s">
        <v>230</v>
      </c>
      <c r="H9" s="12" t="s">
        <v>231</v>
      </c>
      <c r="I9" s="12" t="s">
        <v>232</v>
      </c>
      <c r="J9" s="12" t="s">
        <v>233</v>
      </c>
      <c r="K9" s="12"/>
      <c r="L9" s="12"/>
      <c r="M9" s="12"/>
      <c r="N9" s="12"/>
      <c r="O9" s="12"/>
      <c r="P9" s="12"/>
      <c r="Q9" s="12"/>
      <c r="R9" s="12"/>
      <c r="S9" s="12"/>
      <c r="T9" s="12"/>
      <c r="U9" s="12"/>
      <c r="V9" s="12"/>
      <c r="W9" s="12"/>
      <c r="X9" s="12"/>
      <c r="Y9" s="12"/>
      <c r="Z9" s="12"/>
    </row>
    <row r="10" spans="1:26" ht="176" x14ac:dyDescent="0.2">
      <c r="A10" s="12">
        <v>9</v>
      </c>
      <c r="B10" s="12">
        <v>2</v>
      </c>
      <c r="C10" s="12">
        <v>5</v>
      </c>
      <c r="D10" s="12" t="s">
        <v>234</v>
      </c>
      <c r="E10" s="12" t="s">
        <v>235</v>
      </c>
      <c r="F10" s="12" t="s">
        <v>236</v>
      </c>
      <c r="G10" s="12" t="s">
        <v>211</v>
      </c>
      <c r="H10" s="12" t="s">
        <v>237</v>
      </c>
      <c r="I10" s="12" t="s">
        <v>238</v>
      </c>
      <c r="J10" s="12" t="s">
        <v>239</v>
      </c>
      <c r="K10" s="12"/>
      <c r="L10" s="12"/>
      <c r="M10" s="12"/>
      <c r="N10" s="12"/>
      <c r="O10" s="12"/>
      <c r="P10" s="12"/>
      <c r="Q10" s="12"/>
      <c r="R10" s="12"/>
      <c r="S10" s="12"/>
      <c r="T10" s="12"/>
      <c r="U10" s="12"/>
      <c r="V10" s="12"/>
      <c r="W10" s="12"/>
      <c r="X10" s="12"/>
      <c r="Y10" s="12"/>
      <c r="Z10" s="12"/>
    </row>
    <row r="11" spans="1:26"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courses</vt:lpstr>
      <vt:lpstr>requisites</vt:lpstr>
      <vt:lpstr>course_requisites</vt:lpstr>
      <vt:lpstr>exclusions</vt:lpstr>
      <vt:lpstr>course_exclusions</vt:lpstr>
      <vt:lpstr>equivalencies</vt:lpstr>
      <vt:lpstr>programs</vt:lpstr>
      <vt:lpstr>courses_program1</vt:lpstr>
      <vt:lpstr>requisites_program1</vt:lpstr>
      <vt:lpstr>courses_program2</vt:lpstr>
      <vt:lpstr>requisites_program2</vt:lpstr>
      <vt:lpstr>courses_program3</vt:lpstr>
      <vt:lpstr>requisites_program3</vt:lpstr>
      <vt:lpstr>courses_program4</vt:lpstr>
      <vt:lpstr>requisites_program4</vt:lpstr>
      <vt:lpstr>tracks</vt:lpstr>
      <vt:lpstr>reflections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Work Learn</cp:lastModifiedBy>
  <dcterms:modified xsi:type="dcterms:W3CDTF">2025-11-27T21:20:34Z</dcterms:modified>
</cp:coreProperties>
</file>