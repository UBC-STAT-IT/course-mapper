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urses" sheetId="1" r:id="rId5"/>
    <sheet state="visible" name="requisites" sheetId="2" r:id="rId6"/>
    <sheet state="visible" name="course_requisites" sheetId="3" r:id="rId7"/>
    <sheet state="visible" name="exclusions" sheetId="4" r:id="rId8"/>
    <sheet state="visible" name="course_exclusions" sheetId="5" r:id="rId9"/>
    <sheet state="visible" name="equivalencies" sheetId="6" r:id="rId10"/>
    <sheet state="visible" name="programs" sheetId="7" r:id="rId11"/>
    <sheet state="visible" name="courses_program1" sheetId="8" r:id="rId12"/>
    <sheet state="visible" name="requisites_program1" sheetId="9" r:id="rId13"/>
    <sheet state="visible" name="courses_program2" sheetId="10" r:id="rId14"/>
    <sheet state="visible" name="requisites_program2" sheetId="11" r:id="rId15"/>
    <sheet state="visible" name="courses_program3" sheetId="12" r:id="rId16"/>
    <sheet state="visible" name="requisites_program3" sheetId="13" r:id="rId17"/>
  </sheets>
  <definedNames/>
  <calcPr/>
</workbook>
</file>

<file path=xl/sharedStrings.xml><?xml version="1.0" encoding="utf-8"?>
<sst xmlns="http://schemas.openxmlformats.org/spreadsheetml/2006/main" count="649" uniqueCount="214">
  <si>
    <t>course_number</t>
  </si>
  <si>
    <t>credits</t>
  </si>
  <si>
    <t>title</t>
  </si>
  <si>
    <t>description</t>
  </si>
  <si>
    <t>vector</t>
  </si>
  <si>
    <t>notes</t>
  </si>
  <si>
    <t>S200</t>
  </si>
  <si>
    <t>3</t>
  </si>
  <si>
    <t>Elementary Statistics for Applications</t>
  </si>
  <si>
    <t>Classical, nonparametric, and robust inferences about means, variances, and analysis of variance, using computers. Emphasis on problem formulation, assumptions, and interpretation.</t>
  </si>
  <si>
    <t>[3-1-0]</t>
  </si>
  <si>
    <t>Credit excluded with STAT_V 203, BIOL_V 300, BUSI_V 291, COMM_V 191, 291, ECON_V 325, 327, EPSE_V 482, FRST_V 231, GEOG_V 374, KIN_V 206, 371, LFS_V 252, POLI_V 380, PSYC_V 218, 278, SOCI_V 328</t>
  </si>
  <si>
    <t>S201</t>
  </si>
  <si>
    <t>Statistical Inference for Data Science</t>
  </si>
  <si>
    <t>Classical and simulation-based techniques for estimation and hypothesis testing, including inference for means and proportions. Emphasis on case studies and real data sets, as well as reproducible and transparent workflows when writing computer scripts for analysis and reports.</t>
  </si>
  <si>
    <t>[3-0-1]</t>
  </si>
  <si>
    <t>S251</t>
  </si>
  <si>
    <t>Elementary Statistics</t>
  </si>
  <si>
    <t xml:space="preserve">Probability, discrete and continuous random variables, joint probability distributions, estimation, hypothesis testing, regression, analysis of variance, goodness of fit. </t>
  </si>
  <si>
    <t>Credit excluded with ECON_V 325, 327, PSYC_V 366, COMM_V 290</t>
  </si>
  <si>
    <t>S300</t>
  </si>
  <si>
    <t>Intermediate Statistics for Applications</t>
  </si>
  <si>
    <t xml:space="preserve">Further topics in statistical inference, including parametric and non-parametric methods, goodness-of-fit methods, analysis of variance and covariance, regression analysis, categorical data analysis, experimental designs, time series, model fitting, and statistical computing. </t>
  </si>
  <si>
    <t>Credit excluded with COMM_V 411</t>
  </si>
  <si>
    <t>S301</t>
  </si>
  <si>
    <t>Statistical Modelling for Data Science</t>
  </si>
  <si>
    <t xml:space="preserve">Data analysis using statistical models and algorithms (e.g., linear and logistic regression, peeking, bandit, and variable selection algorithms) in case studies from different disciplines. Generative versus out-of-sample predictive models. Reproducible and transparent workflows for computer scripts and reports. </t>
  </si>
  <si>
    <t>S302</t>
  </si>
  <si>
    <t>Introduction to Probability</t>
  </si>
  <si>
    <t xml:space="preserve">Basic notions of probability, random variables, expectation and conditional expectation, limit theorems. </t>
  </si>
  <si>
    <t>[3-0-0]</t>
  </si>
  <si>
    <t>Credit excluded with MATH_V 302, 318</t>
  </si>
  <si>
    <t>S306</t>
  </si>
  <si>
    <t>Finding Relationships in Data</t>
  </si>
  <si>
    <t xml:space="preserve">Modelling a response (output) variable as a function of several explanatory (input) variables: multiple regression for a continuous response, logistic regression for a binary response, and log-linear models for count data. Finding low-dimensional structure: principal components analysis. Cluster analysis. </t>
  </si>
  <si>
    <t>Credit excluded with ECON_V 326, 328</t>
  </si>
  <si>
    <t>S406</t>
  </si>
  <si>
    <t>Methods for Statistical Learning</t>
  </si>
  <si>
    <t xml:space="preserve">Flexible, data-adaptive methods for regression and classification models; regression smoothers; penalty methods; assessing accuracy of prediction; model selection; robustness; classification and regression trees; nearest-neighbour methods; neural networks; model averaging and ensembles; computational time and visualization for large data sets. </t>
  </si>
  <si>
    <t>M100</t>
  </si>
  <si>
    <t>Differential Calculus with Applications</t>
  </si>
  <si>
    <t>Derivatives of elementary functions. Applications and modelling: graphing, optimization.</t>
  </si>
  <si>
    <t>Credit Exclusion List: https://vancouver.calendar.ubc.ca/faculties-colleges-and-schools/faculty-science/bachelor-science/credit-exclusion-lists</t>
  </si>
  <si>
    <t>M101</t>
  </si>
  <si>
    <t>Integral Calculus with Applications</t>
  </si>
  <si>
    <t>The definite integral, integration techniques, applications, modelling, infinite series.</t>
  </si>
  <si>
    <t>Equivalency: MATH_V 103, 105.</t>
  </si>
  <si>
    <t>M200</t>
  </si>
  <si>
    <t>Calculus III</t>
  </si>
  <si>
    <t>Analytic geometry in 2 and 3 dimensions, partial and directional derivatives, chain rule, maxima and minima, second derivative test, Lagrange multipliers, multiple integrals with applications.</t>
  </si>
  <si>
    <t>Please consult the Faculty of Science Credit Exclusion List: https://vancouver.calendar.ubc.ca/faculties-colleges-and-schools/faculty-science/bachelor-science/credit-exclusion-lists</t>
  </si>
  <si>
    <t>M210</t>
  </si>
  <si>
    <t>Introduction to Mathematical Computing</t>
  </si>
  <si>
    <t>Introduction to mathematical software and numerical methods. Numbers, arrays, functions, vectorization and iteration. Sequences and series, root finding, numerical integration, numerical methods for differential equations, systems of linear equations, mathematical graphics.</t>
  </si>
  <si>
    <t>M215</t>
  </si>
  <si>
    <t>Elementary Differential Equations I</t>
  </si>
  <si>
    <t>First-order equations; linear equations; linear systems; Laplace transforms; numerical methods; trajectory analysis of plane nonlinear systems. Applications of these topics will be emphasized.</t>
  </si>
  <si>
    <t>M221</t>
  </si>
  <si>
    <t>Matrix Algebra</t>
  </si>
  <si>
    <t>Systems of linear equations, operations on matrices, determinants, eigenvalues and eigenvectors, diagonalization of symmetric matrices. </t>
  </si>
  <si>
    <t>This course is intended for first and second year students. Please consult the Faculty of Science Credit Exclusion List: https://vancouver.calendar.ubc.ca/faculties-colleges-and-schools/faculty-science/bachelor-science/credit-exclusion-lists. Equivalency: MATH_V 111</t>
  </si>
  <si>
    <t>D100</t>
  </si>
  <si>
    <t>Introduction to Data Science</t>
  </si>
  <si>
    <t>Use of data science tools to summarize, visualize, and analyze data. Sensible workflows and clear interpretations are emphasized.</t>
  </si>
  <si>
    <t>D200</t>
  </si>
  <si>
    <t>Navigating Data: Acquisition, Exploration and Management</t>
  </si>
  <si>
    <t>Acquiring data through web scraping and generating synthetic data via simulations. Sampling and experimental designs. Reporting and visualizing data and data quality. Data privacy and ownership. Emphasis on case studies and real data sets.</t>
  </si>
  <si>
    <t>D220</t>
  </si>
  <si>
    <t>Discrete Mathematics for Data Science</t>
  </si>
  <si>
    <t xml:space="preserve">Boolean algebra and logical inference, proof techniques, sets, relations and functions, regular expressions, and data filtering. </t>
  </si>
  <si>
    <t xml:space="preserve">[3-2-0] </t>
  </si>
  <si>
    <t>D221</t>
  </si>
  <si>
    <t>Data Structures for Data Science</t>
  </si>
  <si>
    <t>Object-oriented programming. Design and analysis of basic algorithms and data structures especially relevant to data science. Algorithm analysis methods, basic data structures, graphs and graph algorithms.</t>
  </si>
  <si>
    <t>D310</t>
  </si>
  <si>
    <t>Reproducible and Trustworthy Workflows for Data Science</t>
  </si>
  <si>
    <t xml:space="preserve">Data science methods to automate the running and testing of code and analytic reports, manage data analysis software dependencies, package and deploy software for data analysis, and collaborate with others using version control. </t>
  </si>
  <si>
    <t xml:space="preserve">[3-0-1] </t>
  </si>
  <si>
    <t>D320</t>
  </si>
  <si>
    <t>Visualization for Data Science</t>
  </si>
  <si>
    <t>Analysis, design, and implementation of static and interactive visual representations; visualization literacy; data communication; exploratory Data Analysis; application of theoretical principles to visualization development.</t>
  </si>
  <si>
    <t>[3-1.5-0]</t>
  </si>
  <si>
    <t>D430</t>
  </si>
  <si>
    <t>Fairness, Accountability, Transparency and Ethics (FATE) in Data Science</t>
  </si>
  <si>
    <t>Ethical application of data science and machine learning algorithms. Application of ethical theories in real-world case studies. Data ownership, collection, and validity. Algorithm auditing, fairness and transparency. Reducing unfairness in algorithms. Deployment of predictive models and dissemination of results.</t>
  </si>
  <si>
    <t xml:space="preserve">[3-0-0] </t>
  </si>
  <si>
    <t>C103</t>
  </si>
  <si>
    <t>Introduction to Systematic Program Design</t>
  </si>
  <si>
    <t>Computation as a tool for systematic problem solving in non-computer-science disciplines. Introductory programming skills. No programming experience expected.</t>
  </si>
  <si>
    <t>Not for credit for students who have credit for, or exemption from, or are concurrently taking CPSC 110 or APSC 160.</t>
  </si>
  <si>
    <t>C107</t>
  </si>
  <si>
    <t>Systematic Program Design</t>
  </si>
  <si>
    <t>Fundamental computation and program structures. Continuing systematic program design from CPSC 103.</t>
  </si>
  <si>
    <t>[3-2-0]</t>
  </si>
  <si>
    <t>C110</t>
  </si>
  <si>
    <t>Computation, Programs, and Programming</t>
  </si>
  <si>
    <t>Fundamental program and computation structures. Introductory programming skills. Computation as a tool for information processing, simulation and modelling, and interacting with the world.</t>
  </si>
  <si>
    <t>[3-3-0]</t>
  </si>
  <si>
    <t>C121</t>
  </si>
  <si>
    <t>Models of Computation</t>
  </si>
  <si>
    <t>Physical and mathematical structures of computation. Boolean algebra and combinations logic circuits; proof techniques; functions and sequential circuits; sets and relations; finite state machines; sequential instruction execution.</t>
  </si>
  <si>
    <t>[3-2-1]</t>
  </si>
  <si>
    <t>C203</t>
  </si>
  <si>
    <t>Programming, Problem Solving, and Algorithms</t>
  </si>
  <si>
    <t>Analysis of increasingly complex algorithmic problems, using a modern programming language and a variety of approaches. Problem decomposition and abstraction guide explorations of topics from applied algorithms, for example Voronoi Diagrams, Markov Chains, Bin Packing, and Graph Search.</t>
  </si>
  <si>
    <t xml:space="preserve">Not for students with credit for, or currently enrolled in, CPSC 210 or CPEN 221. </t>
  </si>
  <si>
    <t>C210</t>
  </si>
  <si>
    <t>Software Construction</t>
  </si>
  <si>
    <t>Design, development, and analysis of robust software components. Topics such as software design, computational models, data structures, debugging, and testing.</t>
  </si>
  <si>
    <t>C330</t>
  </si>
  <si>
    <t>Applied Machine Learning</t>
  </si>
  <si>
    <t>Application of machine learning tools, with an emphasis on solving practical problems. Data cleaning, feature extraction, supervised and unsupervised machine learning, reproducible workflows, and communicating results.</t>
  </si>
  <si>
    <t>C340</t>
  </si>
  <si>
    <t>Machine Learning and Data Mining</t>
  </si>
  <si>
    <t>Models of algorithms for dimensionality reduction, nonlinear regression, classification, clustering and unsupervised learning; applications to computer graphics, computer games, bio-informatics, information retrieval, e-commerce, databases, computer vision and artificial intelligence.</t>
  </si>
  <si>
    <t>S203</t>
  </si>
  <si>
    <t>Statistical Methods</t>
  </si>
  <si>
    <t xml:space="preserve">Organizing, displaying and summarizing data. Inference estimation and testing for elementary probability models. </t>
  </si>
  <si>
    <t>Not for credit towards a B.Sc. Credit excluded with STAT_V 200, BIOL_V 300, BUSI_V 291, COMM_V 191, 291, ECON_V 325, 327, EPSE_V 482, FRST_V 231, GEOG_V 374, KIN_V 206, 371, LFS_V 252, POLI_V 380, PSYC_V 218, 278, SOCI_V 328</t>
  </si>
  <si>
    <t>C221</t>
  </si>
  <si>
    <t>Basic Algorithms and Data Structures</t>
  </si>
  <si>
    <t>Design and analysis of basic algorithms and data structures; algorithm analysis methods, searching and sorting algorithms, basic data structures, graphs and concurrency.</t>
  </si>
  <si>
    <t>M220</t>
  </si>
  <si>
    <t>Mathematical Proof</t>
  </si>
  <si>
    <t>Sets and functions; induction; cardinality; properties of the real numbers; sequences, series, and limits. Logic, structure, style, and clarity of proofs emphasized throughout.</t>
  </si>
  <si>
    <t>requisite_id</t>
  </si>
  <si>
    <t>type</t>
  </si>
  <si>
    <t>pre</t>
  </si>
  <si>
    <t>One of any course on the MATH 100 credit exclusion list [https://vancouver.calendar.ubc.ca/faculties-colleges-and-schools/facult…], MATH 190, SCIE 001</t>
  </si>
  <si>
    <t>DSCI 100</t>
  </si>
  <si>
    <t>One of MATH 101, MATH 103, MATH 105, MATH 121, SCIE 001</t>
  </si>
  <si>
    <t>One of STAT 200, STAT 203,  STAT 251, BIOL 300, BUSI 291, COMM 191, COMM 291, ECON 325, ECON 327, FRST 231, KIN 206, LFS 252, POLI 380, PSYC 218, PSYC 278</t>
  </si>
  <si>
    <t>STAT 201</t>
  </si>
  <si>
    <t>One of MATH 100, MATH 102, MATH 104, MATH 110, MATH 120, MATH 180, MATH 184, SCIE 001</t>
  </si>
  <si>
    <t>One of MATH 200, MATH 226, MATH 217, MATH 253, MATH 254</t>
  </si>
  <si>
    <t>One of MATH 152, MATH 221, MATH 223</t>
  </si>
  <si>
    <t>One of STAT 200,  STAT 251, STAT 300, BIOL 300, BUSI 291, COMM 191, COMM 291, ECON 325, ECON 327, FRST 231, PSYC 218, PSYC 278</t>
  </si>
  <si>
    <t>One of STAT 302, MATH 302</t>
  </si>
  <si>
    <t>a) One of STAT 306, CPSC 340, or b) STAT 301 and one of MATH 152, MATH 221, MATH 223 and one of STAT 302, MATH 302</t>
  </si>
  <si>
    <t>A score of 80% or higher in BC Pre-calculus 12. High school calculus is strongly recommended</t>
  </si>
  <si>
    <t>One of MATH 100, MATH 102, MATH 104, MATH 110, MATH 120, MATH 180, MATH 184</t>
  </si>
  <si>
    <t>co</t>
  </si>
  <si>
    <t>One of MATH 215, MATH 255, MATH 256, MATH 258</t>
  </si>
  <si>
    <t>One of MATH 200, MATH 217, MATH 226, MATH 253, MATH 254</t>
  </si>
  <si>
    <t>Either (a) one of MATH 100, MATH 102, MATH 104, MATH 110, MATH 120, MATH 180, MATH 184, SCIE 001 or (b) advanced credit for MATH 100, or (c) SCIE 001 as a corequisite</t>
  </si>
  <si>
    <t>MATH 12</t>
  </si>
  <si>
    <t>MATH 100 or SCIE 001</t>
  </si>
  <si>
    <t>CPSC 103 or CPSC 203</t>
  </si>
  <si>
    <t>DSCI 220, or CPSC 121 and CPSC 203</t>
  </si>
  <si>
    <t>Either (a) one of CPSC 203, CPSC 210, CPEN 221 or (b) one of MATH 210, ECON 323 and one of CPSC 107, CPSC 110</t>
  </si>
  <si>
    <t>One of CPSC 203, CPSC 210, CPEN 221, DSCI 221</t>
  </si>
  <si>
    <t>›</t>
  </si>
  <si>
    <t>One of CPSC 330, CPSC 340, STAT 301, STAT 406</t>
  </si>
  <si>
    <t xml:space="preserve">CPSC 103 </t>
  </si>
  <si>
    <t>Principles of Mathematics 12 or Pre-calculus 12</t>
  </si>
  <si>
    <t>One of CPSC 107, CPSC 110</t>
  </si>
  <si>
    <t>One of CPSC 103, CPSC 110, APSC 160, EOSC 211, MATH 210, PHYS 210, COMM 337</t>
  </si>
  <si>
    <t>Either (a) one of CPSC 203, CPSC 210, CPEN 221, DSCI 221 or (b) MATH 210 and one of CPSC 107, CPSC 110</t>
  </si>
  <si>
    <t>One of CPSC 221, DSCI 221</t>
  </si>
  <si>
    <t>One of STAT 251, STAT 302, MATH 302, ECON 325, ECON 327, MATH 318</t>
  </si>
  <si>
    <t>MATH 11. Or Pre-calculus 11</t>
  </si>
  <si>
    <t>One of CPSC 210, CPEN 221</t>
  </si>
  <si>
    <t>Either (a) one of CPSC 121, MATH 220 or (b) a score of 68% or higher in MATH 226</t>
  </si>
  <si>
    <t>Either (a) a score of 64% or higher in one of MATH 101, MATH 103, MATH 105, SCIE 001 or (b) one of MATH 121, MATH 200, MATH 217, MATH 226, MATH 253, MATH 254</t>
  </si>
  <si>
    <t>requisite_number</t>
  </si>
  <si>
    <t>is_primary</t>
  </si>
  <si>
    <t>exclusion_id</t>
  </si>
  <si>
    <t>STAT_V 200, STAT_V 203, BIOL_V 300, BUSI_V 291, COMM_V 191, COMM_V 291, ECON_V 325, ECON_V 327, EPSE_V 482, FRST_V 231, GEOG_V 374, KIN_V 206, KIN_V 371, LFS_V 252, POLI_V 380, PSYC_V 218, PSYC_V 278, SOCI_V 328</t>
  </si>
  <si>
    <t>STAT_V 251, ECON_V 325, ECON_V 327, PSYC_V 366, COMM_V 290</t>
  </si>
  <si>
    <t>STAT_V 300, COMM_V 411</t>
  </si>
  <si>
    <t>STAT_V 302, MATH_V 302, MATH_V 318</t>
  </si>
  <si>
    <t>STAT_V 306, ECON_V 326, ECON_V 328</t>
  </si>
  <si>
    <t>STAT_V 321, ELEC_V 321</t>
  </si>
  <si>
    <t>STAT_V 335, WOOD_V 335</t>
  </si>
  <si>
    <t>STAT_V 404, FRST_V 430, PSYC_V 359</t>
  </si>
  <si>
    <t>equivalency_id</t>
  </si>
  <si>
    <t>equivalency_number</t>
  </si>
  <si>
    <t>M102</t>
  </si>
  <si>
    <t>M104</t>
  </si>
  <si>
    <t>M110</t>
  </si>
  <si>
    <t>M120</t>
  </si>
  <si>
    <t>M180</t>
  </si>
  <si>
    <t>M184</t>
  </si>
  <si>
    <t>M103</t>
  </si>
  <si>
    <t>M105</t>
  </si>
  <si>
    <t>M121</t>
  </si>
  <si>
    <t>M152</t>
  </si>
  <si>
    <t>M223</t>
  </si>
  <si>
    <t>M302</t>
  </si>
  <si>
    <t>M226</t>
  </si>
  <si>
    <t>M217</t>
  </si>
  <si>
    <t>M253</t>
  </si>
  <si>
    <t>M254</t>
  </si>
  <si>
    <t>MATH 255</t>
  </si>
  <si>
    <t>MATH 256</t>
  </si>
  <si>
    <t>MATH 258</t>
  </si>
  <si>
    <t>program_id</t>
  </si>
  <si>
    <t>name</t>
  </si>
  <si>
    <t>requirements_html</t>
  </si>
  <si>
    <t>All Courses</t>
  </si>
  <si>
    <t>&lt;h3&gt;Course Information&lt;/h3&gt;
&lt;p&gt;The course map presents all DSCI, STAT, MATH, and CPSC courses along with prerequisite/corequisite connections. Hover over a course to view the course description, a complete list of prerequisites/corequisites, credit exclusions and notes. Select programs and streams in the menu above.&lt;/p&gt;
&lt;p&gt;This course mapper was created by &lt;a href='https://github.com/siddiskid' target = '_blank'&gt;Siddarth Chilukuri&lt;/a&gt;, &lt;a href='#'&gt;Kevin Lin&lt;/a&gt;, and &lt;a href = '#'&gt;Brian Kim&lt;/a&gt;, based on the original course map by &lt;a href='https://patrickwalls.github.io/' target = '_blank'&gt;Patrick Walls&lt;/a&gt;, &lt;a href='https://github.com/zzzzzyzzzzz' target = '_blank'&gt;Karen Zhou&lt;/a&gt;, and &lt;a href='https://github.com/LeoLee5566' target = '_blank'&gt;Wuyang Li&lt;/a&gt;.&lt;/p&gt;
&lt;p&gt;&lt;a rel='license' href='http://creativecommons.org/licenses/by-nc-sa/4.0/' target = '_blank'&gt;&lt;img alt='Creative Commons Licence' style='border-width:0' src='https://i.creativecommons.org/l/by-nc-sa/4.0/88x31.png' /&gt;&lt;/a&gt;&lt;br /&gt;This work is licensed under a &lt;a rel='license' href='http://creativecommons.org/licenses/by-nc-sa/4.0/' target = '_blank'&gt;Creative Commons Attribution-NonCommercial-ShareAlike 4.0 International License&lt;/a&gt;.&lt;/p&gt;</t>
  </si>
  <si>
    <t>Major in Data Science</t>
  </si>
  <si>
    <t>&lt;p class="degree-note"&gt;&lt;em&gt;Note: The course map on the right represents only a subset of the requirements needed to complete the degree. Please refer to the table below or the &lt;a href = 'https://vancouver.calendar.ubc.ca/faculties-colleges-and-schools/faculty-science/bachelor-science/data-science#:~:text=Major%3A%20Data%20Science%20(DSCI)' target = '_blank'&gt;UBC Academic Calendar&lt;/a&gt; for complete degree requirements.&lt;/em&gt;&lt;/p&gt;&lt;h3&gt;Major in Data Science - Specialization Requirements&lt;/h3&gt;
&lt;figure class="responsive-figure-table"&gt;&lt;table&gt;&lt;tbody&gt;&lt;tr&gt;&lt;td&gt;&lt;strong&gt;First Year&lt;/strong&gt;&lt;/td&gt;&lt;td&gt;&amp;nbsp;&lt;/td&gt;&lt;/tr&gt;&lt;tr&gt;&lt;td&gt;CPSC_V 103&lt;/td&gt;&lt;td&gt;3&lt;/td&gt;&lt;/tr&gt;&lt;tr&gt;&lt;td&gt;DSCI_V 100&lt;/td&gt;&lt;td&gt;3&lt;/td&gt;&lt;/tr&gt;&lt;tr&gt;&lt;td&gt;MATH_V 100 (or 180 or 120 or 110)&lt;sup&gt;1&lt;/sup&gt;&lt;/td&gt;&lt;td&gt;3&lt;/td&gt;&lt;/tr&gt;&lt;tr&gt;&lt;td&gt;MATH_V 101 (or 121)&lt;/td&gt;&lt;td&gt;3&lt;/td&gt;&lt;/tr&gt;&lt;tr&gt;&lt;td&gt;SCIE_V 113&lt;/td&gt;&lt;td&gt;3&lt;/td&gt;&lt;/tr&gt;&lt;tr&gt;&lt;td&gt;Additional Communications Requirement&lt;sup&gt;2&lt;/sup&gt;&lt;/td&gt;&lt;td&gt;3&lt;/td&gt;&lt;/tr&gt;&lt;tr&gt;&lt;td&gt;Electives&lt;sup&gt;1&lt;/sup&gt;&lt;/td&gt;&lt;td&gt;12&lt;/td&gt;&lt;/tr&gt;&lt;tr&gt;&lt;td&gt;Total Credits&lt;/td&gt;&lt;td&gt;30&lt;/td&gt;&lt;/tr&gt;&lt;tr&gt;&lt;td&gt;&amp;nbsp;&lt;/td&gt;&lt;td&gt;&amp;nbsp;&lt;/td&gt;&lt;/tr&gt;&lt;tr&gt;&lt;td&gt;&lt;strong&gt;Second Year&lt;/strong&gt;&lt;/td&gt;&lt;td&gt;&amp;nbsp;&lt;/td&gt;&lt;/tr&gt;&lt;tr&gt;&lt;td&gt;DSCI_V 200, 220, 221&lt;/td&gt;&lt;td&gt;11&lt;/td&gt;&lt;/tr&gt;&lt;tr&gt;&lt;td&gt;MATH_V 200, 221&lt;/td&gt;&lt;td&gt;6&lt;/td&gt;&lt;/tr&gt;&lt;tr&gt;&lt;td&gt;STAT_V 201&lt;/td&gt;&lt;td&gt;3&lt;/td&gt;&lt;/tr&gt;&lt;tr&gt;&lt;td&gt;Electives&lt;sup&gt;1&lt;/sup&gt;&lt;/td&gt;&lt;td&gt;10&lt;/td&gt;&lt;/tr&gt;&lt;tr&gt;&lt;td&gt;Total Credits&lt;/td&gt;&lt;td&gt;30&lt;/td&gt;&lt;/tr&gt;&lt;tr&gt;&lt;td&gt;&amp;nbsp;&lt;/td&gt;&lt;td&gt;&amp;nbsp;&lt;/td&gt;&lt;/tr&gt;&lt;tr&gt;&lt;td&gt;&lt;strong&gt;Third and Fourth Year&lt;/strong&gt;&lt;/td&gt;&lt;td&gt;&amp;nbsp;&lt;/td&gt;&lt;/tr&gt;&lt;tr&gt;&lt;td&gt;CPSC_V 330 or 340&lt;/td&gt;&lt;td&gt;3&lt;/td&gt;&lt;/tr&gt;&lt;tr&gt;&lt;td&gt;CPSC_V 368&lt;/td&gt;&lt;td&gt;3&lt;/td&gt;&lt;/tr&gt;&lt;tr&gt;&lt;td&gt;DSCI_V 310, 320, 430&lt;/td&gt;&lt;td&gt;9&lt;/td&gt;&lt;/tr&gt;&lt;tr&gt;&lt;td&gt;STAT_V 301, 302, 305, 443&lt;/td&gt;&lt;td&gt;12&lt;/td&gt;&lt;/tr&gt;&lt;tr&gt;&lt;td&gt;Any Upper level MATH_V, STAT_V, CPSC_V or DSCI_V&lt;sup&gt;3&lt;/sup&gt;&lt;/td&gt;&lt;td&gt;12&lt;/td&gt;&lt;/tr&gt;&lt;tr&gt;&lt;td&gt;Data Science Depth Requirement&lt;sup&gt;4&lt;/sup&gt;&lt;/td&gt;&lt;td&gt;6&lt;/td&gt;&lt;/tr&gt;&lt;tr&gt;&lt;td&gt;Electives&lt;/td&gt;&lt;td&gt;15&lt;/td&gt;&lt;/tr&gt;&lt;tr&gt;&lt;td&gt;Total Credits&lt;/td&gt;&lt;td&gt;60&lt;/td&gt;&lt;/tr&gt;&lt;tr&gt;&lt;td&gt;&lt;em&gt;Total Credits for Degree&lt;/em&gt;&lt;/td&gt;&lt;td&gt;120&lt;/td&gt;&lt;/tr&gt;&lt;tr&gt;&lt;td colspan=\"2\"&gt;&lt;sup&gt;1&lt;/sup&gt; Students are permitted to move elective credits between years. Students who take courses in MATH_V with extra credits will require fewer elective credits in later years. Elective credits together with required courses must fulfill the Faculty of Science's:&lt;br&gt;a) &lt;a href="https://vancouver.calendar.ubc.ca/node/15386" target = '_blank' rel="nofollow"&gt;Foundational Requirement&lt;/a&gt;;&lt;br&gt;b) &lt;a href="https://vancouver.calendar.ubc.ca/node/15386#18467" target = '_blank' rel="nofollow"&gt;Laboratory Science Requirement&lt;/a&gt;;&lt;br&gt;c) &lt;a href="https://vancouver.calendar.ubc.ca/node/15398" target = '_blank' rel="nofollow"&gt;Science Breadth Requirement&lt;/a&gt;;&lt;br&gt;d) &lt;a href="https://vancouver.calendar.ubc.ca/node/15385" target = '_blank' rel="nofollow"&gt;Science and Arts Requirements&lt;/a&gt;;&lt;br&gt;e) &lt;a href="https://vancouver.calendar.ubc.ca/node/15387" target = '_blank' rel="nofollow"&gt;Upper-level Requirement&lt;/a&gt;;&lt;br&gt;f) &lt;a href="https://vancouver.calendar.ubc.ca/node/15405" target = '_blank' rel="nofollow"&gt;General Degree Requirements&lt;/a&gt;.&lt;/td&gt;&lt;/tr&gt;&lt;tr&gt;&lt;td colspan=\"2\"&gt;&lt;sup&gt;2&lt;/sup&gt; For a full list of acceptable courses see &lt;a href="https://vancouver.calendar.ubc.ca/faculties-colleges-and-schools/faculty-science/bachelor-science/communication-requirements" target = '_blank' rel="nofollow"&gt;Communication Requirements&lt;/a&gt;.&lt;/td&gt;&lt;/tr&gt;&lt;tr&gt;&lt;td colspan=\"2\"&gt;&lt;sup&gt;3&lt;/sup&gt; At least 6 credits must be 400-level or higher.&lt;/td&gt;&lt;/tr&gt;&lt;tr&gt;&lt;td colspan=\"2\"&gt;&lt;sup&gt;4&lt;/sup&gt; Students must choose from a list of courses. See the Data Science website for more detail.&lt;/td&gt;&lt;/tr&gt;&lt;/tbody&gt;&lt;/table&gt;&lt;/figure&gt;</t>
  </si>
  <si>
    <t>Minor in Data Science</t>
  </si>
  <si>
    <t>&lt;p class="degree-note"&gt;&lt;em&gt;Note: The course map on the right represents only a subset of the requirements needed to complete the degree. Please refer to the information below or the &lt;a href = 'https://vancouver.calendar.ubc.ca/faculties-colleges-and-schools/faculty-science/bachelor-science/data-science#:~:text=minor%2Din%2Ddata-,Minor%20in%20Data%20Science,-The%20Data%20Science' target = '_blank'&gt;UBC Academic Calendar&lt;/a&gt; for complete degree requirements.&lt;/em&gt;&lt;/p&gt;&lt;h3&gt;Minor in Data Science - Requirements&lt;/h3&gt;&lt;/h3&gt;&lt;h4&gt;Lower-Level Requirements&lt;/h4&gt;&lt;ul&gt;&lt;li&gt;Data Science: 3 credits of DSCI_V 100.&lt;/li&gt;&lt;li&gt;Statistical Inference: 3 credits of STAT_V 201.&lt;/li&gt;&lt;li&gt;Pre-requisites for required upper-level courses&lt;/li&gt;&lt;li&gt;Programming: 6 credits given by the prerequisites for &lt;a href=\"http://www.courses.students.ubc.ca/cs/courseschedule?pname=subjarea&amp;amp;tname=subj-department&amp;amp;dept=CPSC\" rel=\"nofollow\"&gt;CPSC_V 330&lt;/a&gt;. For most non-CS majors, we recommend CPSC_V 103 followed by CPSC_V 203.&lt;/li&gt;&lt;li&gt;Math: 3 credits given by the prerequisites for &lt;a href=\"http://www.courses.students.ubc.ca/cs/courseschedule?pname=subjarea&amp;amp;tname=subj-department&amp;amp;dept=STAT\" rel=\"nofollow\"&gt;STAT_V 301&lt;/a&gt;.&lt;/li&gt;&lt;/ul&gt;&lt;h4&gt;Upper-Level Requirements&lt;/h4&gt;&lt;p&gt;18 credits selected as follows:&lt;/p&gt;&lt;ul&gt;&lt;li&gt;STAT_V 301&lt;/li&gt;&lt;li&gt;CPSC_V 330&lt;/li&gt;&lt;li&gt;One of DSCI_V 430, CPSC_V 430&lt;/li&gt;&lt;li&gt;Three of the following five options:&lt;ul&gt;&lt;li&gt;DSCI_V 310&lt;/li&gt;&lt;li&gt;DSCI_V 320&lt;/li&gt;&lt;li&gt;CPSC_V 416&lt;/li&gt;&lt;li&gt;One of CPSC_V 368, CPSC_V 304, COMM_V 437&lt;/li&gt;&lt;li&gt;One of COMM_V 335, COMM_V 365, COMM_V 414, COMM_V 415, COMM_V 475, CPSC_V 322, CPSC_V 340, CPSC_V 406, CPSC_V 447, ECON_V 398, ECON_V 425, EOSC_V 440, EOSC_V 410, EOSC_V 354, INFO_V 419, LING_V 342, MATH_V 441, MATH_V 442, MICB_V 405, MICB_V 425, NSCI_V 303, PHYS_V 410, PSYC_V 359, STAT_V 406, STAT_V 447B, STAT_V 450&lt;/li&gt;&lt;/ul&gt;&lt;/li&gt;&lt;/ul&gt;</t>
  </si>
  <si>
    <t>x</t>
  </si>
  <si>
    <t>y</t>
  </si>
  <si>
    <t>required</t>
  </si>
  <si>
    <t>course_x</t>
  </si>
  <si>
    <t>course_y</t>
  </si>
  <si>
    <t>requisite_x</t>
  </si>
  <si>
    <t>requisite_y</t>
  </si>
  <si>
    <t>requisite_is_primary</t>
  </si>
  <si>
    <t>course_requisite_number</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</si>
</sst>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0"/>
  </numFmts>
  <fonts count="5">
    <font>
      <sz val="11.0"/>
      <color theme="1"/>
      <name val="Calibri"/>
      <scheme val="minor"/>
    </font>
    <font>
      <b/>
      <sz val="11.0"/>
      <color theme="1"/>
      <name val="Calibri"/>
    </font>
    <font>
      <sz val="11.0"/>
      <color theme="1"/>
      <name val="Calibri"/>
    </font>
    <font>
      <color theme="1"/>
      <name val="Calibri"/>
    </font>
    <font>
      <sz val="11.0"/>
      <color rgb="FF000000"/>
      <name val="Calibri"/>
    </font>
  </fonts>
  <fills count="2">
    <fill>
      <patternFill patternType="none"/>
    </fill>
    <fill>
      <patternFill patternType="lightGray"/>
    </fill>
  </fills>
  <borders count="3">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2">
    <xf borderId="0" fillId="0" fontId="0" numFmtId="0" xfId="0" applyAlignment="1" applyFont="1">
      <alignment readingOrder="0" shrinkToFit="0" vertical="bottom" wrapText="0"/>
    </xf>
    <xf borderId="1" fillId="0" fontId="1" numFmtId="0" xfId="0" applyAlignment="1" applyBorder="1" applyFont="1">
      <alignment horizontal="center" vertical="top"/>
    </xf>
    <xf borderId="0" fillId="0" fontId="2" numFmtId="0" xfId="0" applyFont="1"/>
    <xf borderId="0" fillId="0" fontId="3" numFmtId="0" xfId="0" applyFont="1"/>
    <xf borderId="0" fillId="0" fontId="2" numFmtId="0" xfId="0" applyAlignment="1" applyFont="1">
      <alignment vertical="bottom"/>
    </xf>
    <xf borderId="2" fillId="0" fontId="1" numFmtId="0" xfId="0" applyAlignment="1" applyBorder="1" applyFont="1">
      <alignment horizontal="center" vertical="top"/>
    </xf>
    <xf borderId="0" fillId="0" fontId="4" numFmtId="0" xfId="0" applyFont="1"/>
    <xf borderId="0" fillId="0" fontId="2" numFmtId="0" xfId="0" applyAlignment="1" applyFont="1">
      <alignment horizontal="right" vertical="bottom"/>
    </xf>
    <xf borderId="0" fillId="0" fontId="2" numFmtId="0" xfId="0" applyAlignment="1" applyFont="1">
      <alignment horizontal="right"/>
    </xf>
    <xf borderId="0" fillId="0" fontId="2" numFmtId="0" xfId="0" applyAlignment="1" applyFont="1">
      <alignment readingOrder="0"/>
    </xf>
    <xf borderId="0" fillId="0" fontId="2" numFmtId="164" xfId="0" applyFont="1" applyNumberFormat="1"/>
    <xf borderId="0" fillId="0" fontId="2" numFmtId="1"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14"/>
    <col customWidth="1" min="2" max="2" width="8.86"/>
    <col customWidth="1" min="3" max="3" width="46.43"/>
    <col customWidth="1" min="4" max="4" width="218.43"/>
    <col customWidth="1" min="5" max="6" width="8.86"/>
  </cols>
  <sheetData>
    <row r="1">
      <c r="A1" s="1" t="s">
        <v>0</v>
      </c>
      <c r="B1" s="1" t="s">
        <v>1</v>
      </c>
      <c r="C1" s="1" t="s">
        <v>2</v>
      </c>
      <c r="D1" s="1" t="s">
        <v>3</v>
      </c>
      <c r="E1" s="1" t="s">
        <v>4</v>
      </c>
      <c r="F1" s="1" t="s">
        <v>5</v>
      </c>
    </row>
    <row r="2">
      <c r="A2" s="2" t="s">
        <v>6</v>
      </c>
      <c r="B2" s="2" t="s">
        <v>7</v>
      </c>
      <c r="C2" s="2" t="s">
        <v>8</v>
      </c>
      <c r="D2" s="2" t="s">
        <v>9</v>
      </c>
      <c r="E2" s="2" t="s">
        <v>10</v>
      </c>
      <c r="F2" s="2" t="s">
        <v>11</v>
      </c>
    </row>
    <row r="3">
      <c r="A3" s="2" t="s">
        <v>12</v>
      </c>
      <c r="B3" s="2" t="s">
        <v>7</v>
      </c>
      <c r="C3" s="2" t="s">
        <v>13</v>
      </c>
      <c r="D3" s="2" t="s">
        <v>14</v>
      </c>
      <c r="E3" s="2" t="s">
        <v>15</v>
      </c>
    </row>
    <row r="4">
      <c r="A4" s="2" t="s">
        <v>16</v>
      </c>
      <c r="B4" s="2" t="s">
        <v>7</v>
      </c>
      <c r="C4" s="2" t="s">
        <v>17</v>
      </c>
      <c r="D4" s="2" t="s">
        <v>18</v>
      </c>
      <c r="E4" s="2" t="s">
        <v>10</v>
      </c>
      <c r="F4" s="2" t="s">
        <v>19</v>
      </c>
    </row>
    <row r="5">
      <c r="A5" s="2" t="s">
        <v>20</v>
      </c>
      <c r="B5" s="2" t="s">
        <v>7</v>
      </c>
      <c r="C5" s="2" t="s">
        <v>21</v>
      </c>
      <c r="D5" s="2" t="s">
        <v>22</v>
      </c>
      <c r="E5" s="2" t="s">
        <v>10</v>
      </c>
      <c r="F5" s="2" t="s">
        <v>23</v>
      </c>
    </row>
    <row r="6">
      <c r="A6" s="2" t="s">
        <v>24</v>
      </c>
      <c r="B6" s="2" t="s">
        <v>7</v>
      </c>
      <c r="C6" s="2" t="s">
        <v>25</v>
      </c>
      <c r="D6" s="2" t="s">
        <v>26</v>
      </c>
      <c r="E6" s="2" t="s">
        <v>15</v>
      </c>
    </row>
    <row r="7">
      <c r="A7" s="2" t="s">
        <v>27</v>
      </c>
      <c r="B7" s="2" t="s">
        <v>7</v>
      </c>
      <c r="C7" s="2" t="s">
        <v>28</v>
      </c>
      <c r="D7" s="2" t="s">
        <v>29</v>
      </c>
      <c r="E7" s="2" t="s">
        <v>30</v>
      </c>
      <c r="F7" s="2" t="s">
        <v>31</v>
      </c>
    </row>
    <row r="8">
      <c r="A8" s="2" t="s">
        <v>32</v>
      </c>
      <c r="B8" s="2" t="s">
        <v>7</v>
      </c>
      <c r="C8" s="2" t="s">
        <v>33</v>
      </c>
      <c r="D8" s="2" t="s">
        <v>34</v>
      </c>
      <c r="E8" s="2" t="s">
        <v>15</v>
      </c>
      <c r="F8" s="2" t="s">
        <v>35</v>
      </c>
    </row>
    <row r="9">
      <c r="A9" s="2" t="s">
        <v>36</v>
      </c>
      <c r="B9" s="2" t="s">
        <v>7</v>
      </c>
      <c r="C9" s="2" t="s">
        <v>37</v>
      </c>
      <c r="D9" s="2" t="s">
        <v>38</v>
      </c>
      <c r="E9" s="2" t="s">
        <v>15</v>
      </c>
    </row>
    <row r="10" ht="15.0" customHeight="1">
      <c r="A10" s="2" t="s">
        <v>39</v>
      </c>
      <c r="B10" s="2">
        <v>3.0</v>
      </c>
      <c r="C10" s="2" t="s">
        <v>40</v>
      </c>
      <c r="D10" s="2" t="s">
        <v>41</v>
      </c>
      <c r="E10" s="2" t="s">
        <v>30</v>
      </c>
      <c r="F10" s="2" t="s">
        <v>42</v>
      </c>
    </row>
    <row r="11" ht="15.75" customHeight="1">
      <c r="A11" s="2" t="s">
        <v>43</v>
      </c>
      <c r="B11" s="2">
        <v>3.0</v>
      </c>
      <c r="C11" s="2" t="s">
        <v>44</v>
      </c>
      <c r="D11" s="2" t="s">
        <v>45</v>
      </c>
      <c r="E11" s="2" t="s">
        <v>30</v>
      </c>
      <c r="F11" s="2" t="s">
        <v>46</v>
      </c>
    </row>
    <row r="12" ht="15.75" customHeight="1">
      <c r="A12" s="2" t="s">
        <v>47</v>
      </c>
      <c r="B12" s="2">
        <v>3.0</v>
      </c>
      <c r="C12" s="2" t="s">
        <v>48</v>
      </c>
      <c r="D12" s="2" t="s">
        <v>49</v>
      </c>
      <c r="E12" s="2" t="s">
        <v>30</v>
      </c>
      <c r="F12" s="2" t="s">
        <v>50</v>
      </c>
    </row>
    <row r="13" ht="15.75" customHeight="1">
      <c r="A13" s="2" t="s">
        <v>51</v>
      </c>
      <c r="B13" s="2">
        <v>3.0</v>
      </c>
      <c r="C13" s="3" t="s">
        <v>52</v>
      </c>
      <c r="D13" s="3" t="s">
        <v>53</v>
      </c>
      <c r="E13" s="2" t="s">
        <v>30</v>
      </c>
    </row>
    <row r="14" ht="15.75" customHeight="1">
      <c r="A14" s="2" t="s">
        <v>54</v>
      </c>
      <c r="B14" s="2">
        <v>3.0</v>
      </c>
      <c r="C14" s="3" t="s">
        <v>55</v>
      </c>
      <c r="D14" s="2" t="s">
        <v>56</v>
      </c>
      <c r="E14" s="2" t="s">
        <v>30</v>
      </c>
    </row>
    <row r="15" ht="15.75" customHeight="1">
      <c r="A15" s="2" t="s">
        <v>57</v>
      </c>
      <c r="B15" s="2">
        <v>3.0</v>
      </c>
      <c r="C15" s="2" t="s">
        <v>58</v>
      </c>
      <c r="D15" s="2" t="s">
        <v>59</v>
      </c>
      <c r="E15" s="2" t="s">
        <v>30</v>
      </c>
      <c r="F15" s="2" t="s">
        <v>60</v>
      </c>
    </row>
    <row r="16" ht="15.75" customHeight="1">
      <c r="A16" s="2" t="s">
        <v>61</v>
      </c>
      <c r="B16" s="2">
        <v>3.0</v>
      </c>
      <c r="C16" s="2" t="s">
        <v>62</v>
      </c>
      <c r="D16" s="2" t="s">
        <v>63</v>
      </c>
      <c r="E16" s="2" t="s">
        <v>15</v>
      </c>
    </row>
    <row r="17" ht="15.75" customHeight="1">
      <c r="A17" s="2" t="s">
        <v>64</v>
      </c>
      <c r="B17" s="2">
        <v>3.0</v>
      </c>
      <c r="C17" s="2" t="s">
        <v>65</v>
      </c>
      <c r="D17" s="2" t="s">
        <v>66</v>
      </c>
      <c r="E17" s="2" t="s">
        <v>30</v>
      </c>
    </row>
    <row r="18" ht="15.75" customHeight="1">
      <c r="A18" s="2" t="s">
        <v>67</v>
      </c>
      <c r="B18" s="2">
        <v>4.0</v>
      </c>
      <c r="C18" s="3" t="s">
        <v>68</v>
      </c>
      <c r="D18" s="2" t="s">
        <v>69</v>
      </c>
      <c r="E18" s="3" t="s">
        <v>70</v>
      </c>
    </row>
    <row r="19" ht="15.75" customHeight="1">
      <c r="A19" s="2" t="s">
        <v>71</v>
      </c>
      <c r="B19" s="2">
        <v>4.0</v>
      </c>
      <c r="C19" s="3" t="s">
        <v>72</v>
      </c>
      <c r="D19" s="2" t="s">
        <v>73</v>
      </c>
      <c r="E19" s="3" t="s">
        <v>70</v>
      </c>
    </row>
    <row r="20" ht="15.75" customHeight="1">
      <c r="A20" s="2" t="s">
        <v>74</v>
      </c>
      <c r="B20" s="2">
        <v>3.0</v>
      </c>
      <c r="C20" s="3" t="s">
        <v>75</v>
      </c>
      <c r="D20" s="2" t="s">
        <v>76</v>
      </c>
      <c r="E20" s="3" t="s">
        <v>77</v>
      </c>
    </row>
    <row r="21" ht="15.75" customHeight="1">
      <c r="A21" s="2" t="s">
        <v>78</v>
      </c>
      <c r="B21" s="2">
        <v>3.0</v>
      </c>
      <c r="C21" s="3" t="s">
        <v>79</v>
      </c>
      <c r="D21" s="2" t="s">
        <v>80</v>
      </c>
      <c r="E21" s="3" t="s">
        <v>81</v>
      </c>
    </row>
    <row r="22" ht="15.75" customHeight="1">
      <c r="A22" s="2" t="s">
        <v>82</v>
      </c>
      <c r="B22" s="2">
        <v>3.0</v>
      </c>
      <c r="C22" s="3" t="s">
        <v>83</v>
      </c>
      <c r="D22" s="2" t="s">
        <v>84</v>
      </c>
      <c r="E22" s="3" t="s">
        <v>85</v>
      </c>
    </row>
    <row r="23" ht="15.75" customHeight="1">
      <c r="A23" s="2" t="s">
        <v>86</v>
      </c>
      <c r="B23" s="2">
        <v>3.0</v>
      </c>
      <c r="C23" s="3" t="s">
        <v>87</v>
      </c>
      <c r="D23" s="2" t="s">
        <v>88</v>
      </c>
      <c r="E23" s="2" t="s">
        <v>15</v>
      </c>
      <c r="F23" s="3" t="s">
        <v>89</v>
      </c>
    </row>
    <row r="24" ht="15.75" customHeight="1">
      <c r="A24" s="2" t="s">
        <v>90</v>
      </c>
      <c r="B24" s="2">
        <v>3.0</v>
      </c>
      <c r="C24" s="2" t="s">
        <v>91</v>
      </c>
      <c r="D24" s="2" t="s">
        <v>92</v>
      </c>
      <c r="E24" s="2" t="s">
        <v>93</v>
      </c>
    </row>
    <row r="25" ht="15.75" customHeight="1">
      <c r="A25" s="2" t="s">
        <v>94</v>
      </c>
      <c r="B25" s="2">
        <v>4.0</v>
      </c>
      <c r="C25" s="2" t="s">
        <v>95</v>
      </c>
      <c r="D25" s="2" t="s">
        <v>96</v>
      </c>
      <c r="E25" s="2" t="s">
        <v>97</v>
      </c>
    </row>
    <row r="26" ht="15.75" customHeight="1">
      <c r="A26" s="2" t="s">
        <v>98</v>
      </c>
      <c r="B26" s="2">
        <v>4.0</v>
      </c>
      <c r="C26" s="3" t="s">
        <v>99</v>
      </c>
      <c r="D26" s="3" t="s">
        <v>100</v>
      </c>
      <c r="E26" s="2" t="s">
        <v>101</v>
      </c>
    </row>
    <row r="27" ht="15.75" customHeight="1">
      <c r="A27" s="2" t="s">
        <v>102</v>
      </c>
      <c r="B27" s="2">
        <v>3.0</v>
      </c>
      <c r="C27" s="3" t="s">
        <v>103</v>
      </c>
      <c r="D27" s="2" t="s">
        <v>104</v>
      </c>
      <c r="E27" s="2" t="s">
        <v>15</v>
      </c>
      <c r="F27" s="2" t="s">
        <v>105</v>
      </c>
    </row>
    <row r="28" ht="15.75" customHeight="1">
      <c r="A28" s="2" t="s">
        <v>106</v>
      </c>
      <c r="B28" s="2">
        <v>4.0</v>
      </c>
      <c r="C28" s="2" t="s">
        <v>107</v>
      </c>
      <c r="D28" s="3" t="s">
        <v>108</v>
      </c>
      <c r="E28" s="2" t="s">
        <v>93</v>
      </c>
    </row>
    <row r="29" ht="15.75" customHeight="1">
      <c r="A29" s="2" t="s">
        <v>109</v>
      </c>
      <c r="B29" s="2">
        <v>3.0</v>
      </c>
      <c r="C29" s="2" t="s">
        <v>110</v>
      </c>
      <c r="D29" s="2" t="s">
        <v>111</v>
      </c>
      <c r="E29" s="2" t="s">
        <v>15</v>
      </c>
    </row>
    <row r="30" ht="15.75" customHeight="1">
      <c r="A30" s="2" t="s">
        <v>112</v>
      </c>
      <c r="B30" s="2">
        <v>3.0</v>
      </c>
      <c r="C30" s="2" t="s">
        <v>113</v>
      </c>
      <c r="D30" s="2" t="s">
        <v>114</v>
      </c>
      <c r="E30" s="2" t="s">
        <v>15</v>
      </c>
    </row>
    <row r="31" ht="15.75" customHeight="1">
      <c r="A31" s="4" t="s">
        <v>115</v>
      </c>
      <c r="B31" s="4" t="s">
        <v>7</v>
      </c>
      <c r="C31" s="4" t="s">
        <v>116</v>
      </c>
      <c r="D31" s="4" t="s">
        <v>117</v>
      </c>
      <c r="E31" s="4" t="s">
        <v>10</v>
      </c>
      <c r="F31" s="4" t="s">
        <v>118</v>
      </c>
      <c r="G31" s="4"/>
      <c r="H31" s="4"/>
      <c r="I31" s="4"/>
      <c r="J31" s="4"/>
      <c r="K31" s="4"/>
      <c r="L31" s="4"/>
      <c r="M31" s="4"/>
      <c r="N31" s="4"/>
      <c r="O31" s="4"/>
      <c r="P31" s="4"/>
      <c r="Q31" s="4"/>
      <c r="R31" s="4"/>
      <c r="S31" s="4"/>
      <c r="T31" s="4"/>
      <c r="U31" s="4"/>
      <c r="V31" s="4"/>
      <c r="W31" s="4"/>
      <c r="X31" s="4"/>
      <c r="Y31" s="4"/>
      <c r="Z31" s="4"/>
    </row>
    <row r="32" ht="15.75" customHeight="1">
      <c r="A32" s="3" t="s">
        <v>119</v>
      </c>
      <c r="B32" s="3">
        <v>4.0</v>
      </c>
      <c r="C32" s="3" t="s">
        <v>120</v>
      </c>
      <c r="D32" s="3" t="s">
        <v>121</v>
      </c>
      <c r="E32" s="3" t="s">
        <v>93</v>
      </c>
    </row>
    <row r="33" ht="15.75" customHeight="1">
      <c r="A33" s="3" t="s">
        <v>122</v>
      </c>
      <c r="B33" s="3">
        <v>3.0</v>
      </c>
      <c r="C33" s="3" t="s">
        <v>123</v>
      </c>
      <c r="D33" s="3" t="s">
        <v>124</v>
      </c>
      <c r="E33" s="3" t="s">
        <v>30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3" width="8.86"/>
    <col customWidth="1" min="4" max="4" width="176.71"/>
    <col customWidth="1" min="5" max="6" width="8.86"/>
  </cols>
  <sheetData>
    <row r="1">
      <c r="A1" s="1" t="s">
        <v>125</v>
      </c>
      <c r="B1" s="5" t="s">
        <v>0</v>
      </c>
      <c r="C1" s="5" t="s">
        <v>126</v>
      </c>
      <c r="D1" s="5" t="s">
        <v>3</v>
      </c>
      <c r="E1" s="6"/>
    </row>
    <row r="2">
      <c r="A2" s="6">
        <v>1.0</v>
      </c>
      <c r="B2" s="6" t="s">
        <v>6</v>
      </c>
      <c r="C2" s="6" t="s">
        <v>127</v>
      </c>
      <c r="D2" s="6" t="s">
        <v>128</v>
      </c>
      <c r="E2" s="6"/>
    </row>
    <row r="3">
      <c r="A3" s="6">
        <v>2.0</v>
      </c>
      <c r="B3" s="6" t="s">
        <v>12</v>
      </c>
      <c r="C3" s="6" t="s">
        <v>127</v>
      </c>
      <c r="D3" s="6" t="s">
        <v>129</v>
      </c>
      <c r="E3" s="6"/>
    </row>
    <row r="4">
      <c r="A4" s="6">
        <v>3.0</v>
      </c>
      <c r="B4" s="6" t="s">
        <v>16</v>
      </c>
      <c r="C4" s="6" t="s">
        <v>127</v>
      </c>
      <c r="D4" s="6" t="s">
        <v>130</v>
      </c>
      <c r="E4" s="6"/>
    </row>
    <row r="5">
      <c r="A5" s="6">
        <v>4.0</v>
      </c>
      <c r="B5" s="6" t="s">
        <v>20</v>
      </c>
      <c r="C5" s="6" t="s">
        <v>127</v>
      </c>
      <c r="D5" s="6" t="s">
        <v>131</v>
      </c>
      <c r="E5" s="6"/>
    </row>
    <row r="6">
      <c r="A6" s="6">
        <v>5.0</v>
      </c>
      <c r="B6" s="6" t="s">
        <v>24</v>
      </c>
      <c r="C6" s="6" t="s">
        <v>127</v>
      </c>
      <c r="D6" s="6" t="s">
        <v>132</v>
      </c>
      <c r="E6" s="6"/>
    </row>
    <row r="7">
      <c r="A7" s="6">
        <v>6.0</v>
      </c>
      <c r="B7" s="6" t="s">
        <v>24</v>
      </c>
      <c r="C7" s="6" t="s">
        <v>127</v>
      </c>
      <c r="D7" s="6" t="s">
        <v>133</v>
      </c>
      <c r="E7" s="6"/>
    </row>
    <row r="8">
      <c r="A8" s="6">
        <v>7.0</v>
      </c>
      <c r="B8" s="6" t="s">
        <v>27</v>
      </c>
      <c r="C8" s="6" t="s">
        <v>127</v>
      </c>
      <c r="D8" s="6" t="s">
        <v>134</v>
      </c>
      <c r="E8" s="6"/>
    </row>
    <row r="9">
      <c r="A9" s="6">
        <v>8.0</v>
      </c>
      <c r="B9" s="6" t="s">
        <v>32</v>
      </c>
      <c r="C9" s="6" t="s">
        <v>127</v>
      </c>
      <c r="D9" s="6" t="s">
        <v>135</v>
      </c>
      <c r="E9" s="6"/>
    </row>
    <row r="10">
      <c r="A10" s="6">
        <v>9.0</v>
      </c>
      <c r="B10" s="6" t="s">
        <v>32</v>
      </c>
      <c r="C10" s="6" t="s">
        <v>127</v>
      </c>
      <c r="D10" s="6" t="s">
        <v>136</v>
      </c>
      <c r="E10" s="6"/>
    </row>
    <row r="11">
      <c r="A11" s="6">
        <v>10.0</v>
      </c>
      <c r="B11" s="6" t="s">
        <v>32</v>
      </c>
      <c r="C11" s="6" t="s">
        <v>127</v>
      </c>
      <c r="D11" s="6" t="s">
        <v>137</v>
      </c>
      <c r="E11" s="6"/>
    </row>
    <row r="12" ht="15.75" customHeight="1">
      <c r="A12" s="6">
        <v>11.0</v>
      </c>
      <c r="B12" s="6" t="s">
        <v>36</v>
      </c>
      <c r="C12" s="6" t="s">
        <v>127</v>
      </c>
      <c r="D12" s="6" t="s">
        <v>138</v>
      </c>
      <c r="E12" s="6"/>
    </row>
    <row r="13" ht="15.75" customHeight="1">
      <c r="A13" s="6">
        <v>12.0</v>
      </c>
      <c r="B13" s="6" t="s">
        <v>39</v>
      </c>
      <c r="C13" s="6" t="s">
        <v>127</v>
      </c>
      <c r="D13" s="6" t="s">
        <v>139</v>
      </c>
      <c r="E13" s="6"/>
    </row>
    <row r="14" ht="15.75" customHeight="1">
      <c r="A14" s="6">
        <v>13.0</v>
      </c>
      <c r="B14" s="6" t="s">
        <v>43</v>
      </c>
      <c r="C14" s="6" t="s">
        <v>127</v>
      </c>
      <c r="D14" s="6" t="s">
        <v>140</v>
      </c>
      <c r="E14" s="6"/>
    </row>
    <row r="15" ht="15.75" customHeight="1">
      <c r="A15" s="6">
        <v>14.0</v>
      </c>
      <c r="B15" s="6" t="s">
        <v>47</v>
      </c>
      <c r="C15" s="6" t="s">
        <v>127</v>
      </c>
      <c r="D15" s="6" t="s">
        <v>130</v>
      </c>
      <c r="E15" s="6"/>
    </row>
    <row r="16" ht="15.75" customHeight="1">
      <c r="A16" s="6">
        <v>15.0</v>
      </c>
      <c r="B16" s="2" t="s">
        <v>51</v>
      </c>
      <c r="C16" s="6" t="s">
        <v>127</v>
      </c>
      <c r="D16" s="2" t="s">
        <v>130</v>
      </c>
    </row>
    <row r="17" ht="15.75" customHeight="1">
      <c r="A17" s="6">
        <v>16.0</v>
      </c>
      <c r="B17" s="2" t="s">
        <v>51</v>
      </c>
      <c r="C17" s="6" t="s">
        <v>141</v>
      </c>
      <c r="D17" s="2" t="s">
        <v>142</v>
      </c>
    </row>
    <row r="18" ht="15.75" customHeight="1">
      <c r="A18" s="6">
        <v>17.0</v>
      </c>
      <c r="B18" s="2" t="s">
        <v>51</v>
      </c>
      <c r="C18" s="6" t="s">
        <v>141</v>
      </c>
      <c r="D18" s="2" t="s">
        <v>135</v>
      </c>
    </row>
    <row r="19" ht="15.75" customHeight="1">
      <c r="A19" s="6">
        <v>18.0</v>
      </c>
      <c r="B19" s="2" t="s">
        <v>54</v>
      </c>
      <c r="C19" s="6" t="s">
        <v>127</v>
      </c>
      <c r="D19" s="2" t="s">
        <v>130</v>
      </c>
    </row>
    <row r="20" ht="15.75" customHeight="1">
      <c r="A20" s="6">
        <v>19.0</v>
      </c>
      <c r="B20" s="2" t="s">
        <v>54</v>
      </c>
      <c r="C20" s="6" t="s">
        <v>127</v>
      </c>
      <c r="D20" s="2" t="s">
        <v>135</v>
      </c>
    </row>
    <row r="21" ht="15.75" customHeight="1">
      <c r="A21" s="6">
        <v>20.0</v>
      </c>
      <c r="B21" s="2" t="s">
        <v>54</v>
      </c>
      <c r="C21" s="6" t="s">
        <v>141</v>
      </c>
      <c r="D21" s="2" t="s">
        <v>143</v>
      </c>
    </row>
    <row r="22" ht="15.75" customHeight="1">
      <c r="A22" s="6">
        <v>21.0</v>
      </c>
      <c r="B22" s="6" t="s">
        <v>57</v>
      </c>
      <c r="C22" s="6" t="s">
        <v>127</v>
      </c>
      <c r="D22" s="6" t="s">
        <v>144</v>
      </c>
      <c r="E22" s="6"/>
    </row>
    <row r="23" ht="15.75" customHeight="1">
      <c r="A23" s="6">
        <v>22.0</v>
      </c>
      <c r="B23" s="6" t="s">
        <v>61</v>
      </c>
      <c r="C23" s="6" t="s">
        <v>127</v>
      </c>
      <c r="D23" s="6" t="s">
        <v>145</v>
      </c>
      <c r="E23" s="6"/>
    </row>
    <row r="24" ht="15.75" customHeight="1">
      <c r="A24" s="6">
        <v>23.0</v>
      </c>
      <c r="B24" s="6" t="s">
        <v>64</v>
      </c>
      <c r="C24" s="6" t="s">
        <v>127</v>
      </c>
      <c r="D24" s="6" t="s">
        <v>129</v>
      </c>
      <c r="E24" s="6"/>
    </row>
    <row r="25" ht="15.75" customHeight="1">
      <c r="A25" s="6">
        <v>24.0</v>
      </c>
      <c r="B25" s="2" t="s">
        <v>67</v>
      </c>
      <c r="C25" s="6" t="s">
        <v>127</v>
      </c>
      <c r="D25" s="6" t="s">
        <v>146</v>
      </c>
      <c r="E25" s="6"/>
    </row>
    <row r="26" ht="15.75" customHeight="1">
      <c r="A26" s="6">
        <v>25.0</v>
      </c>
      <c r="B26" s="2" t="s">
        <v>67</v>
      </c>
      <c r="C26" s="6" t="s">
        <v>127</v>
      </c>
      <c r="D26" s="6" t="s">
        <v>129</v>
      </c>
      <c r="E26" s="6"/>
    </row>
    <row r="27" ht="15.75" customHeight="1">
      <c r="A27" s="6">
        <v>26.0</v>
      </c>
      <c r="B27" s="2" t="s">
        <v>67</v>
      </c>
      <c r="C27" s="6" t="s">
        <v>127</v>
      </c>
      <c r="D27" s="6" t="s">
        <v>147</v>
      </c>
      <c r="E27" s="6"/>
    </row>
    <row r="28" ht="15.75" customHeight="1">
      <c r="A28" s="6">
        <v>27.0</v>
      </c>
      <c r="B28" s="2" t="s">
        <v>71</v>
      </c>
      <c r="C28" s="6" t="s">
        <v>127</v>
      </c>
      <c r="D28" s="6" t="s">
        <v>148</v>
      </c>
      <c r="E28" s="6"/>
    </row>
    <row r="29" ht="15.75" customHeight="1">
      <c r="A29" s="6">
        <v>28.0</v>
      </c>
      <c r="B29" s="2" t="s">
        <v>74</v>
      </c>
      <c r="C29" s="6" t="s">
        <v>127</v>
      </c>
      <c r="D29" s="6" t="s">
        <v>129</v>
      </c>
      <c r="E29" s="6"/>
    </row>
    <row r="30" ht="15.75" customHeight="1">
      <c r="A30" s="6">
        <v>29.0</v>
      </c>
      <c r="B30" s="2" t="s">
        <v>74</v>
      </c>
      <c r="C30" s="6" t="s">
        <v>127</v>
      </c>
      <c r="D30" s="6" t="s">
        <v>149</v>
      </c>
      <c r="E30" s="6"/>
    </row>
    <row r="31" ht="15.75" customHeight="1">
      <c r="A31" s="6">
        <v>30.0</v>
      </c>
      <c r="B31" s="2" t="s">
        <v>78</v>
      </c>
      <c r="C31" s="6" t="s">
        <v>127</v>
      </c>
      <c r="D31" s="6" t="s">
        <v>132</v>
      </c>
      <c r="E31" s="6"/>
    </row>
    <row r="32" ht="15.75" customHeight="1">
      <c r="A32" s="6">
        <v>31.0</v>
      </c>
      <c r="B32" s="2" t="s">
        <v>78</v>
      </c>
      <c r="C32" s="6" t="s">
        <v>127</v>
      </c>
      <c r="D32" s="6" t="s">
        <v>150</v>
      </c>
      <c r="E32" s="6" t="s">
        <v>151</v>
      </c>
    </row>
    <row r="33" ht="15.75" customHeight="1">
      <c r="A33" s="6">
        <v>32.0</v>
      </c>
      <c r="B33" s="2" t="s">
        <v>82</v>
      </c>
      <c r="C33" s="6" t="s">
        <v>127</v>
      </c>
      <c r="D33" s="2" t="s">
        <v>152</v>
      </c>
    </row>
    <row r="34" ht="15.75" customHeight="1">
      <c r="A34" s="6">
        <v>33.0</v>
      </c>
      <c r="B34" s="2" t="s">
        <v>90</v>
      </c>
      <c r="C34" s="6" t="s">
        <v>127</v>
      </c>
      <c r="D34" s="2" t="s">
        <v>153</v>
      </c>
    </row>
    <row r="35" ht="15.75" customHeight="1">
      <c r="A35" s="6">
        <v>34.0</v>
      </c>
      <c r="B35" s="2" t="s">
        <v>98</v>
      </c>
      <c r="C35" s="6" t="s">
        <v>127</v>
      </c>
      <c r="D35" s="2" t="s">
        <v>154</v>
      </c>
    </row>
    <row r="36" ht="15.75" customHeight="1">
      <c r="A36" s="6">
        <v>35.0</v>
      </c>
      <c r="B36" s="2" t="s">
        <v>98</v>
      </c>
      <c r="C36" s="6" t="s">
        <v>141</v>
      </c>
      <c r="D36" s="2" t="s">
        <v>155</v>
      </c>
    </row>
    <row r="37" ht="15.75" customHeight="1">
      <c r="A37" s="6">
        <v>36.0</v>
      </c>
      <c r="B37" s="2" t="s">
        <v>102</v>
      </c>
      <c r="C37" s="6" t="s">
        <v>127</v>
      </c>
      <c r="D37" s="2" t="s">
        <v>156</v>
      </c>
    </row>
    <row r="38" ht="15.75" customHeight="1">
      <c r="A38" s="6">
        <v>37.0</v>
      </c>
      <c r="B38" s="2" t="s">
        <v>106</v>
      </c>
      <c r="C38" s="6" t="s">
        <v>127</v>
      </c>
      <c r="D38" s="3" t="s">
        <v>155</v>
      </c>
    </row>
    <row r="39" ht="15.75" customHeight="1">
      <c r="A39" s="6">
        <v>38.0</v>
      </c>
      <c r="B39" s="2" t="s">
        <v>109</v>
      </c>
      <c r="C39" s="6" t="s">
        <v>127</v>
      </c>
      <c r="D39" s="2" t="s">
        <v>157</v>
      </c>
    </row>
    <row r="40" ht="15.75" customHeight="1">
      <c r="A40" s="6">
        <v>39.0</v>
      </c>
      <c r="B40" s="2" t="s">
        <v>112</v>
      </c>
      <c r="C40" s="6" t="s">
        <v>127</v>
      </c>
      <c r="D40" s="2" t="s">
        <v>158</v>
      </c>
    </row>
    <row r="41" ht="15.75" customHeight="1">
      <c r="A41" s="6">
        <v>40.0</v>
      </c>
      <c r="B41" s="2" t="s">
        <v>112</v>
      </c>
      <c r="C41" s="6" t="s">
        <v>127</v>
      </c>
      <c r="D41" s="2" t="s">
        <v>135</v>
      </c>
    </row>
    <row r="42" ht="15.75" customHeight="1">
      <c r="A42" s="6">
        <v>41.0</v>
      </c>
      <c r="B42" s="2" t="s">
        <v>112</v>
      </c>
      <c r="C42" s="6" t="s">
        <v>127</v>
      </c>
      <c r="D42" s="2" t="s">
        <v>143</v>
      </c>
    </row>
    <row r="43" ht="15.75" customHeight="1">
      <c r="A43" s="6">
        <v>42.0</v>
      </c>
      <c r="B43" s="2" t="s">
        <v>112</v>
      </c>
      <c r="C43" s="6" t="s">
        <v>127</v>
      </c>
      <c r="D43" s="2" t="s">
        <v>159</v>
      </c>
    </row>
    <row r="44" ht="15.75" customHeight="1">
      <c r="A44" s="7">
        <v>43.0</v>
      </c>
      <c r="B44" s="4" t="s">
        <v>115</v>
      </c>
      <c r="C44" s="4" t="s">
        <v>127</v>
      </c>
      <c r="D44" s="4" t="s">
        <v>160</v>
      </c>
      <c r="E44" s="4"/>
      <c r="F44" s="4"/>
      <c r="G44" s="4"/>
      <c r="H44" s="4"/>
      <c r="I44" s="4"/>
      <c r="J44" s="4"/>
      <c r="K44" s="4"/>
      <c r="L44" s="4"/>
      <c r="M44" s="4"/>
      <c r="N44" s="4"/>
      <c r="O44" s="4"/>
      <c r="P44" s="4"/>
      <c r="Q44" s="4"/>
      <c r="R44" s="4"/>
      <c r="S44" s="4"/>
      <c r="T44" s="4"/>
      <c r="U44" s="4"/>
      <c r="V44" s="4"/>
      <c r="W44" s="4"/>
      <c r="X44" s="4"/>
      <c r="Y44" s="4"/>
      <c r="Z44" s="4"/>
    </row>
    <row r="45" ht="15.75" customHeight="1">
      <c r="A45" s="3">
        <v>44.0</v>
      </c>
      <c r="B45" s="3" t="s">
        <v>119</v>
      </c>
      <c r="C45" s="3" t="s">
        <v>127</v>
      </c>
      <c r="D45" s="3" t="s">
        <v>161</v>
      </c>
    </row>
    <row r="46" ht="15.75" customHeight="1">
      <c r="A46" s="3">
        <v>45.0</v>
      </c>
      <c r="B46" s="3" t="s">
        <v>119</v>
      </c>
      <c r="C46" s="3" t="s">
        <v>127</v>
      </c>
      <c r="D46" s="3" t="s">
        <v>162</v>
      </c>
    </row>
    <row r="47" ht="15.75" customHeight="1">
      <c r="A47" s="3">
        <v>46.0</v>
      </c>
      <c r="B47" s="3" t="s">
        <v>122</v>
      </c>
      <c r="C47" s="3" t="s">
        <v>127</v>
      </c>
      <c r="D47" s="3" t="s">
        <v>163</v>
      </c>
    </row>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71"/>
    <col customWidth="1" min="2" max="2" width="14.43"/>
    <col customWidth="1" min="3" max="3" width="15.43"/>
    <col customWidth="1" min="4" max="4" width="9.86"/>
    <col customWidth="1" min="5" max="6" width="8.86"/>
  </cols>
  <sheetData>
    <row r="1">
      <c r="A1" s="1" t="s">
        <v>125</v>
      </c>
      <c r="B1" s="1" t="s">
        <v>0</v>
      </c>
      <c r="C1" s="1" t="s">
        <v>164</v>
      </c>
      <c r="D1" s="1" t="s">
        <v>165</v>
      </c>
    </row>
    <row r="2">
      <c r="A2" s="2">
        <v>1.0</v>
      </c>
      <c r="B2" s="2" t="s">
        <v>6</v>
      </c>
      <c r="C2" s="2" t="s">
        <v>39</v>
      </c>
      <c r="D2" s="2">
        <v>1.0</v>
      </c>
    </row>
    <row r="3">
      <c r="A3" s="2">
        <v>2.0</v>
      </c>
      <c r="B3" s="2" t="s">
        <v>12</v>
      </c>
      <c r="C3" s="2" t="s">
        <v>61</v>
      </c>
      <c r="D3" s="2">
        <v>1.0</v>
      </c>
    </row>
    <row r="4">
      <c r="A4" s="2">
        <v>3.0</v>
      </c>
      <c r="B4" s="2" t="s">
        <v>16</v>
      </c>
      <c r="C4" s="2" t="s">
        <v>43</v>
      </c>
      <c r="D4" s="2">
        <v>1.0</v>
      </c>
    </row>
    <row r="5">
      <c r="A5" s="2">
        <v>4.0</v>
      </c>
      <c r="B5" s="2" t="s">
        <v>20</v>
      </c>
      <c r="C5" s="2" t="s">
        <v>6</v>
      </c>
      <c r="D5" s="2">
        <v>1.0</v>
      </c>
    </row>
    <row r="6">
      <c r="A6" s="2">
        <v>4.0</v>
      </c>
      <c r="B6" s="2" t="s">
        <v>20</v>
      </c>
      <c r="C6" s="2" t="s">
        <v>115</v>
      </c>
      <c r="D6" s="2">
        <v>0.0</v>
      </c>
    </row>
    <row r="7">
      <c r="A7" s="2">
        <v>4.0</v>
      </c>
      <c r="B7" s="2" t="s">
        <v>20</v>
      </c>
      <c r="C7" s="2" t="s">
        <v>16</v>
      </c>
      <c r="D7" s="2">
        <v>0.0</v>
      </c>
    </row>
    <row r="8">
      <c r="A8" s="2">
        <v>5.0</v>
      </c>
      <c r="B8" s="2" t="s">
        <v>24</v>
      </c>
      <c r="C8" s="2" t="s">
        <v>12</v>
      </c>
      <c r="D8" s="2">
        <v>1.0</v>
      </c>
    </row>
    <row r="9">
      <c r="A9" s="2">
        <v>6.0</v>
      </c>
      <c r="B9" s="2" t="s">
        <v>24</v>
      </c>
      <c r="C9" s="2" t="s">
        <v>39</v>
      </c>
      <c r="D9" s="2">
        <v>1.0</v>
      </c>
    </row>
    <row r="10">
      <c r="A10" s="2">
        <v>7.0</v>
      </c>
      <c r="B10" s="2" t="s">
        <v>27</v>
      </c>
      <c r="C10" s="2" t="s">
        <v>47</v>
      </c>
      <c r="D10" s="2">
        <v>1.0</v>
      </c>
    </row>
    <row r="11">
      <c r="A11" s="2">
        <v>8.0</v>
      </c>
      <c r="B11" s="2" t="s">
        <v>32</v>
      </c>
      <c r="C11" s="2" t="s">
        <v>57</v>
      </c>
      <c r="D11" s="2">
        <v>1.0</v>
      </c>
    </row>
    <row r="12">
      <c r="A12" s="2">
        <v>9.0</v>
      </c>
      <c r="B12" s="2" t="s">
        <v>32</v>
      </c>
      <c r="C12" s="2" t="s">
        <v>6</v>
      </c>
      <c r="D12" s="2">
        <v>1.0</v>
      </c>
    </row>
    <row r="13">
      <c r="A13" s="2">
        <v>9.0</v>
      </c>
      <c r="B13" s="2" t="s">
        <v>32</v>
      </c>
      <c r="C13" s="2" t="s">
        <v>16</v>
      </c>
      <c r="D13" s="2">
        <v>0.0</v>
      </c>
    </row>
    <row r="14">
      <c r="A14" s="2">
        <v>9.0</v>
      </c>
      <c r="B14" s="2" t="s">
        <v>32</v>
      </c>
      <c r="C14" s="2" t="s">
        <v>20</v>
      </c>
      <c r="D14" s="2">
        <v>0.0</v>
      </c>
    </row>
    <row r="15" ht="15.75" customHeight="1">
      <c r="A15" s="2">
        <v>10.0</v>
      </c>
      <c r="B15" s="2" t="s">
        <v>32</v>
      </c>
      <c r="C15" s="2" t="s">
        <v>27</v>
      </c>
      <c r="D15" s="2">
        <v>1.0</v>
      </c>
    </row>
    <row r="16" ht="15.75" customHeight="1">
      <c r="A16" s="2">
        <v>11.0</v>
      </c>
      <c r="B16" s="2" t="s">
        <v>36</v>
      </c>
      <c r="C16" s="2" t="s">
        <v>32</v>
      </c>
      <c r="D16" s="2">
        <v>1.0</v>
      </c>
    </row>
    <row r="17" ht="15.75" customHeight="1">
      <c r="A17" s="2">
        <v>11.0</v>
      </c>
      <c r="B17" s="2" t="s">
        <v>36</v>
      </c>
      <c r="C17" s="2" t="s">
        <v>112</v>
      </c>
      <c r="D17" s="2">
        <v>0.0</v>
      </c>
    </row>
    <row r="18" ht="15.75" customHeight="1">
      <c r="A18" s="2">
        <v>11.0</v>
      </c>
      <c r="B18" s="2" t="s">
        <v>36</v>
      </c>
      <c r="C18" s="2" t="s">
        <v>24</v>
      </c>
      <c r="D18" s="2">
        <v>0.0</v>
      </c>
    </row>
    <row r="19" ht="15.75" customHeight="1">
      <c r="A19" s="2">
        <v>11.0</v>
      </c>
      <c r="B19" s="2" t="s">
        <v>36</v>
      </c>
      <c r="C19" s="2" t="s">
        <v>57</v>
      </c>
      <c r="D19" s="2">
        <v>0.0</v>
      </c>
    </row>
    <row r="20" ht="15.75" customHeight="1">
      <c r="A20" s="2">
        <v>11.0</v>
      </c>
      <c r="B20" s="2" t="s">
        <v>36</v>
      </c>
      <c r="C20" s="2" t="s">
        <v>27</v>
      </c>
      <c r="D20" s="2">
        <v>0.0</v>
      </c>
    </row>
    <row r="21" ht="15.75" customHeight="1">
      <c r="A21" s="2">
        <v>13.0</v>
      </c>
      <c r="B21" s="2" t="s">
        <v>43</v>
      </c>
      <c r="C21" s="2" t="s">
        <v>39</v>
      </c>
      <c r="D21" s="2">
        <v>1.0</v>
      </c>
    </row>
    <row r="22" ht="15.75" customHeight="1">
      <c r="A22" s="2">
        <v>14.0</v>
      </c>
      <c r="B22" s="2" t="s">
        <v>47</v>
      </c>
      <c r="C22" s="2" t="s">
        <v>43</v>
      </c>
      <c r="D22" s="2">
        <v>1.0</v>
      </c>
    </row>
    <row r="23" ht="15.75" customHeight="1">
      <c r="A23" s="2">
        <v>15.0</v>
      </c>
      <c r="B23" s="2" t="s">
        <v>51</v>
      </c>
      <c r="C23" s="2" t="s">
        <v>43</v>
      </c>
      <c r="D23" s="2">
        <v>1.0</v>
      </c>
    </row>
    <row r="24" ht="15.75" customHeight="1">
      <c r="A24" s="2">
        <v>16.0</v>
      </c>
      <c r="B24" s="2" t="s">
        <v>51</v>
      </c>
      <c r="C24" s="2" t="s">
        <v>54</v>
      </c>
      <c r="D24" s="2">
        <v>1.0</v>
      </c>
    </row>
    <row r="25" ht="15.75" customHeight="1">
      <c r="A25" s="2">
        <v>17.0</v>
      </c>
      <c r="B25" s="2" t="s">
        <v>51</v>
      </c>
      <c r="C25" s="2" t="s">
        <v>57</v>
      </c>
      <c r="D25" s="2">
        <v>1.0</v>
      </c>
    </row>
    <row r="26" ht="15.75" customHeight="1">
      <c r="A26" s="2">
        <v>18.0</v>
      </c>
      <c r="B26" s="2" t="s">
        <v>54</v>
      </c>
      <c r="C26" s="2" t="s">
        <v>43</v>
      </c>
      <c r="D26" s="2">
        <v>1.0</v>
      </c>
    </row>
    <row r="27" ht="15.75" customHeight="1">
      <c r="A27" s="2">
        <v>19.0</v>
      </c>
      <c r="B27" s="2" t="s">
        <v>54</v>
      </c>
      <c r="C27" s="2" t="s">
        <v>57</v>
      </c>
      <c r="D27" s="2">
        <v>1.0</v>
      </c>
    </row>
    <row r="28" ht="15.75" customHeight="1">
      <c r="A28" s="2">
        <v>20.0</v>
      </c>
      <c r="B28" s="2" t="s">
        <v>54</v>
      </c>
      <c r="C28" s="2" t="s">
        <v>47</v>
      </c>
      <c r="D28" s="2">
        <v>1.0</v>
      </c>
    </row>
    <row r="29" ht="15.75" customHeight="1">
      <c r="A29" s="2">
        <v>21.0</v>
      </c>
      <c r="B29" s="2" t="s">
        <v>57</v>
      </c>
      <c r="C29" s="2" t="s">
        <v>39</v>
      </c>
      <c r="D29" s="2">
        <v>1.0</v>
      </c>
    </row>
    <row r="30" ht="15.75" customHeight="1">
      <c r="A30" s="2">
        <v>23.0</v>
      </c>
      <c r="B30" s="2" t="s">
        <v>64</v>
      </c>
      <c r="C30" s="2" t="s">
        <v>61</v>
      </c>
      <c r="D30" s="2">
        <v>1.0</v>
      </c>
    </row>
    <row r="31" ht="15.75" customHeight="1">
      <c r="A31" s="2">
        <v>24.0</v>
      </c>
      <c r="B31" s="2" t="s">
        <v>67</v>
      </c>
      <c r="C31" s="2" t="s">
        <v>39</v>
      </c>
      <c r="D31" s="2">
        <v>1.0</v>
      </c>
    </row>
    <row r="32" ht="15.75" customHeight="1">
      <c r="A32" s="2">
        <v>25.0</v>
      </c>
      <c r="B32" s="2" t="s">
        <v>67</v>
      </c>
      <c r="C32" s="2" t="s">
        <v>61</v>
      </c>
      <c r="D32" s="2">
        <v>1.0</v>
      </c>
    </row>
    <row r="33" ht="15.75" customHeight="1">
      <c r="A33" s="2">
        <v>26.0</v>
      </c>
      <c r="B33" s="2" t="s">
        <v>67</v>
      </c>
      <c r="C33" s="2" t="s">
        <v>86</v>
      </c>
      <c r="D33" s="2">
        <v>1.0</v>
      </c>
      <c r="E33" s="2"/>
    </row>
    <row r="34" ht="15.75" customHeight="1">
      <c r="A34" s="2">
        <v>26.0</v>
      </c>
      <c r="B34" s="2" t="s">
        <v>67</v>
      </c>
      <c r="C34" s="2" t="s">
        <v>102</v>
      </c>
      <c r="D34" s="2">
        <v>0.0</v>
      </c>
    </row>
    <row r="35" ht="15.75" customHeight="1">
      <c r="A35" s="2">
        <v>27.0</v>
      </c>
      <c r="B35" s="2" t="s">
        <v>71</v>
      </c>
      <c r="C35" s="2" t="s">
        <v>67</v>
      </c>
      <c r="D35" s="2">
        <v>1.0</v>
      </c>
    </row>
    <row r="36" ht="15.75" customHeight="1">
      <c r="A36" s="2">
        <v>27.0</v>
      </c>
      <c r="B36" s="2" t="s">
        <v>71</v>
      </c>
      <c r="C36" s="2" t="s">
        <v>98</v>
      </c>
      <c r="D36" s="2">
        <v>0.0</v>
      </c>
    </row>
    <row r="37" ht="15.75" customHeight="1">
      <c r="A37" s="3">
        <v>27.0</v>
      </c>
      <c r="B37" s="2" t="s">
        <v>71</v>
      </c>
      <c r="C37" s="2" t="s">
        <v>102</v>
      </c>
      <c r="D37" s="2">
        <v>0.0</v>
      </c>
    </row>
    <row r="38" ht="15.75" customHeight="1">
      <c r="A38" s="3">
        <v>28.0</v>
      </c>
      <c r="B38" s="2" t="s">
        <v>74</v>
      </c>
      <c r="C38" s="2" t="s">
        <v>61</v>
      </c>
      <c r="D38" s="2">
        <v>1.0</v>
      </c>
    </row>
    <row r="39" ht="15.75" customHeight="1">
      <c r="A39" s="3">
        <v>29.0</v>
      </c>
      <c r="B39" s="2" t="s">
        <v>74</v>
      </c>
      <c r="C39" s="2" t="s">
        <v>102</v>
      </c>
      <c r="D39" s="2">
        <v>1.0</v>
      </c>
    </row>
    <row r="40" ht="15.75" customHeight="1">
      <c r="A40" s="3">
        <v>29.0</v>
      </c>
      <c r="B40" s="2" t="s">
        <v>74</v>
      </c>
      <c r="C40" s="2" t="s">
        <v>106</v>
      </c>
      <c r="D40" s="2">
        <v>1.0</v>
      </c>
    </row>
    <row r="41" ht="15.75" customHeight="1">
      <c r="A41" s="3">
        <v>29.0</v>
      </c>
      <c r="B41" s="2" t="s">
        <v>74</v>
      </c>
      <c r="C41" s="2" t="s">
        <v>51</v>
      </c>
      <c r="D41" s="2">
        <v>0.0</v>
      </c>
    </row>
    <row r="42" ht="15.75" customHeight="1">
      <c r="A42" s="3">
        <v>29.0</v>
      </c>
      <c r="B42" s="2" t="s">
        <v>74</v>
      </c>
      <c r="C42" s="2" t="s">
        <v>90</v>
      </c>
      <c r="D42" s="2">
        <v>0.0</v>
      </c>
    </row>
    <row r="43" ht="15.75" customHeight="1">
      <c r="A43" s="3">
        <v>29.0</v>
      </c>
      <c r="B43" s="2" t="s">
        <v>74</v>
      </c>
      <c r="C43" s="2" t="s">
        <v>94</v>
      </c>
      <c r="D43" s="2">
        <v>0.0</v>
      </c>
    </row>
    <row r="44" ht="15.75" customHeight="1">
      <c r="A44" s="3">
        <v>30.0</v>
      </c>
      <c r="B44" s="2" t="s">
        <v>78</v>
      </c>
      <c r="C44" s="2" t="s">
        <v>12</v>
      </c>
      <c r="D44" s="2">
        <v>1.0</v>
      </c>
    </row>
    <row r="45" ht="15.75" customHeight="1">
      <c r="A45" s="3">
        <v>31.0</v>
      </c>
      <c r="B45" s="2" t="s">
        <v>78</v>
      </c>
      <c r="C45" s="2" t="s">
        <v>102</v>
      </c>
      <c r="D45" s="2">
        <v>1.0</v>
      </c>
    </row>
    <row r="46" ht="15.75" customHeight="1">
      <c r="A46" s="3">
        <v>31.0</v>
      </c>
      <c r="B46" s="2" t="s">
        <v>78</v>
      </c>
      <c r="C46" s="2" t="s">
        <v>106</v>
      </c>
      <c r="D46" s="3">
        <v>1.0</v>
      </c>
    </row>
    <row r="47" ht="15.75" customHeight="1">
      <c r="A47" s="3">
        <v>31.0</v>
      </c>
      <c r="B47" s="2" t="s">
        <v>78</v>
      </c>
      <c r="C47" s="2" t="s">
        <v>71</v>
      </c>
      <c r="D47" s="3">
        <v>1.0</v>
      </c>
    </row>
    <row r="48" ht="15.75" customHeight="1">
      <c r="A48" s="3">
        <v>32.0</v>
      </c>
      <c r="B48" s="2" t="s">
        <v>82</v>
      </c>
      <c r="C48" s="2" t="s">
        <v>109</v>
      </c>
      <c r="D48" s="3">
        <v>1.0</v>
      </c>
    </row>
    <row r="49" ht="15.75" customHeight="1">
      <c r="A49" s="3">
        <v>32.0</v>
      </c>
      <c r="B49" s="2" t="s">
        <v>82</v>
      </c>
      <c r="C49" s="2" t="s">
        <v>112</v>
      </c>
      <c r="D49" s="3">
        <v>1.0</v>
      </c>
    </row>
    <row r="50" ht="15.75" customHeight="1">
      <c r="A50" s="3">
        <v>32.0</v>
      </c>
      <c r="B50" s="2" t="s">
        <v>82</v>
      </c>
      <c r="C50" s="2" t="s">
        <v>24</v>
      </c>
      <c r="D50" s="3">
        <v>1.0</v>
      </c>
    </row>
    <row r="51" ht="15.75" customHeight="1">
      <c r="A51" s="3">
        <v>32.0</v>
      </c>
      <c r="B51" s="2" t="s">
        <v>82</v>
      </c>
      <c r="C51" s="2" t="s">
        <v>36</v>
      </c>
      <c r="D51" s="3">
        <v>1.0</v>
      </c>
    </row>
    <row r="52" ht="15.75" customHeight="1">
      <c r="A52" s="3">
        <v>33.0</v>
      </c>
      <c r="B52" s="2" t="s">
        <v>90</v>
      </c>
      <c r="C52" s="2" t="s">
        <v>86</v>
      </c>
      <c r="D52" s="3">
        <v>1.0</v>
      </c>
    </row>
    <row r="53" ht="15.75" customHeight="1">
      <c r="A53" s="3">
        <v>35.0</v>
      </c>
      <c r="B53" s="2" t="s">
        <v>98</v>
      </c>
      <c r="C53" s="2" t="s">
        <v>90</v>
      </c>
      <c r="D53" s="3">
        <v>1.0</v>
      </c>
    </row>
    <row r="54" ht="15.75" customHeight="1">
      <c r="A54" s="3">
        <v>35.0</v>
      </c>
      <c r="B54" s="2" t="s">
        <v>98</v>
      </c>
      <c r="C54" s="2" t="s">
        <v>94</v>
      </c>
      <c r="D54" s="3">
        <v>1.0</v>
      </c>
    </row>
    <row r="55" ht="15.75" customHeight="1">
      <c r="A55" s="3">
        <v>36.0</v>
      </c>
      <c r="B55" s="2" t="s">
        <v>102</v>
      </c>
      <c r="C55" s="2" t="s">
        <v>86</v>
      </c>
      <c r="D55" s="3">
        <v>1.0</v>
      </c>
    </row>
    <row r="56" ht="15.75" customHeight="1">
      <c r="A56" s="3">
        <v>36.0</v>
      </c>
      <c r="B56" s="2" t="s">
        <v>102</v>
      </c>
      <c r="C56" s="2" t="s">
        <v>94</v>
      </c>
      <c r="D56" s="3">
        <v>1.0</v>
      </c>
    </row>
    <row r="57" ht="15.75" customHeight="1">
      <c r="A57" s="3">
        <v>37.0</v>
      </c>
      <c r="B57" s="2" t="s">
        <v>106</v>
      </c>
      <c r="C57" s="2" t="s">
        <v>90</v>
      </c>
      <c r="D57" s="3">
        <v>1.0</v>
      </c>
    </row>
    <row r="58" ht="15.75" customHeight="1">
      <c r="A58" s="3">
        <v>37.0</v>
      </c>
      <c r="B58" s="2" t="s">
        <v>106</v>
      </c>
      <c r="C58" s="2" t="s">
        <v>94</v>
      </c>
      <c r="D58" s="3">
        <v>1.0</v>
      </c>
    </row>
    <row r="59" ht="15.75" customHeight="1">
      <c r="A59" s="3">
        <v>38.0</v>
      </c>
      <c r="B59" s="2" t="s">
        <v>109</v>
      </c>
      <c r="C59" s="2" t="s">
        <v>102</v>
      </c>
      <c r="D59" s="3">
        <v>1.0</v>
      </c>
    </row>
    <row r="60" ht="15.75" customHeight="1">
      <c r="A60" s="3">
        <v>38.0</v>
      </c>
      <c r="B60" s="2" t="s">
        <v>109</v>
      </c>
      <c r="C60" s="2" t="s">
        <v>106</v>
      </c>
      <c r="D60" s="3">
        <v>1.0</v>
      </c>
    </row>
    <row r="61" ht="15.75" customHeight="1">
      <c r="A61" s="3">
        <v>38.0</v>
      </c>
      <c r="B61" s="2" t="s">
        <v>109</v>
      </c>
      <c r="C61" s="2" t="s">
        <v>71</v>
      </c>
      <c r="D61" s="3">
        <v>1.0</v>
      </c>
    </row>
    <row r="62" ht="15.75" customHeight="1">
      <c r="A62" s="3">
        <v>38.0</v>
      </c>
      <c r="B62" s="2" t="s">
        <v>109</v>
      </c>
      <c r="C62" s="2" t="s">
        <v>51</v>
      </c>
      <c r="D62" s="3">
        <v>0.0</v>
      </c>
    </row>
    <row r="63" ht="15.75" customHeight="1">
      <c r="A63" s="3">
        <v>38.0</v>
      </c>
      <c r="B63" s="2" t="s">
        <v>109</v>
      </c>
      <c r="C63" s="2" t="s">
        <v>90</v>
      </c>
      <c r="D63" s="3">
        <v>0.0</v>
      </c>
    </row>
    <row r="64" ht="15.75" customHeight="1">
      <c r="A64" s="3">
        <v>38.0</v>
      </c>
      <c r="B64" s="2" t="s">
        <v>109</v>
      </c>
      <c r="C64" s="2" t="s">
        <v>94</v>
      </c>
      <c r="D64" s="3">
        <v>0.0</v>
      </c>
    </row>
    <row r="65" ht="15.75" customHeight="1">
      <c r="A65" s="3">
        <v>39.0</v>
      </c>
      <c r="B65" s="2" t="s">
        <v>112</v>
      </c>
      <c r="C65" s="2" t="s">
        <v>119</v>
      </c>
      <c r="D65" s="3">
        <v>1.0</v>
      </c>
    </row>
    <row r="66" ht="15.75" customHeight="1">
      <c r="A66" s="3">
        <v>39.0</v>
      </c>
      <c r="B66" s="2" t="s">
        <v>112</v>
      </c>
      <c r="C66" s="2" t="s">
        <v>71</v>
      </c>
      <c r="D66" s="3">
        <v>1.0</v>
      </c>
    </row>
    <row r="67" ht="15.75" customHeight="1">
      <c r="A67" s="3">
        <v>40.0</v>
      </c>
      <c r="B67" s="2" t="s">
        <v>112</v>
      </c>
      <c r="C67" s="2" t="s">
        <v>57</v>
      </c>
      <c r="D67" s="3">
        <v>1.0</v>
      </c>
    </row>
    <row r="68" ht="15.75" customHeight="1">
      <c r="A68" s="3">
        <v>41.0</v>
      </c>
      <c r="B68" s="2" t="s">
        <v>112</v>
      </c>
      <c r="C68" s="2" t="s">
        <v>47</v>
      </c>
      <c r="D68" s="3">
        <v>1.0</v>
      </c>
    </row>
    <row r="69" ht="15.75" customHeight="1">
      <c r="A69" s="3">
        <v>42.0</v>
      </c>
      <c r="B69" s="2" t="s">
        <v>112</v>
      </c>
      <c r="C69" s="2" t="s">
        <v>16</v>
      </c>
      <c r="D69" s="3">
        <v>1.0</v>
      </c>
    </row>
    <row r="70" ht="15.75" customHeight="1">
      <c r="A70" s="3">
        <v>42.0</v>
      </c>
      <c r="B70" s="2" t="s">
        <v>112</v>
      </c>
      <c r="C70" s="2" t="s">
        <v>27</v>
      </c>
      <c r="D70" s="3">
        <v>1.0</v>
      </c>
    </row>
    <row r="71" ht="15.75" customHeight="1">
      <c r="A71" s="3">
        <v>44.0</v>
      </c>
      <c r="B71" s="3" t="s">
        <v>119</v>
      </c>
      <c r="C71" s="3" t="s">
        <v>106</v>
      </c>
      <c r="D71" s="3">
        <v>1.0</v>
      </c>
    </row>
    <row r="72" ht="15.75" customHeight="1">
      <c r="A72" s="3">
        <v>45.0</v>
      </c>
      <c r="B72" s="3" t="s">
        <v>119</v>
      </c>
      <c r="C72" s="3" t="s">
        <v>98</v>
      </c>
      <c r="D72" s="3">
        <v>1.0</v>
      </c>
    </row>
    <row r="73" ht="15.75" customHeight="1">
      <c r="A73" s="3">
        <v>45.0</v>
      </c>
      <c r="B73" s="3" t="s">
        <v>119</v>
      </c>
      <c r="C73" s="3" t="s">
        <v>122</v>
      </c>
      <c r="D73" s="3">
        <v>1.0</v>
      </c>
    </row>
    <row r="74" ht="15.75" customHeight="1">
      <c r="A74" s="3">
        <v>45.0</v>
      </c>
      <c r="B74" s="3" t="s">
        <v>119</v>
      </c>
      <c r="C74" s="3" t="s">
        <v>47</v>
      </c>
      <c r="D74" s="3">
        <v>0.0</v>
      </c>
    </row>
    <row r="75" ht="15.75" customHeight="1">
      <c r="A75" s="3">
        <v>46.0</v>
      </c>
      <c r="B75" s="3" t="s">
        <v>122</v>
      </c>
      <c r="C75" s="3" t="s">
        <v>43</v>
      </c>
      <c r="D75" s="3">
        <v>1.0</v>
      </c>
    </row>
    <row r="76" ht="15.75" customHeight="1">
      <c r="A76" s="3">
        <v>46.0</v>
      </c>
      <c r="B76" s="3" t="s">
        <v>122</v>
      </c>
      <c r="C76" s="3" t="s">
        <v>47</v>
      </c>
      <c r="D76" s="3">
        <v>1.0</v>
      </c>
    </row>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43"/>
    <col customWidth="1" min="2" max="2" width="175.0"/>
    <col customWidth="1" min="3" max="6" width="8.86"/>
  </cols>
  <sheetData>
    <row r="1">
      <c r="A1" s="1" t="s">
        <v>166</v>
      </c>
      <c r="B1" s="1" t="s">
        <v>3</v>
      </c>
    </row>
    <row r="2">
      <c r="A2" s="2">
        <v>1.0</v>
      </c>
      <c r="B2" s="2" t="s">
        <v>167</v>
      </c>
    </row>
    <row r="3">
      <c r="A3" s="2">
        <v>2.0</v>
      </c>
      <c r="B3" s="2" t="s">
        <v>168</v>
      </c>
    </row>
    <row r="4">
      <c r="A4" s="2">
        <v>3.0</v>
      </c>
      <c r="B4" s="2" t="s">
        <v>169</v>
      </c>
    </row>
    <row r="5">
      <c r="A5" s="2">
        <v>4.0</v>
      </c>
      <c r="B5" s="2" t="s">
        <v>170</v>
      </c>
    </row>
    <row r="6">
      <c r="A6" s="2">
        <v>5.0</v>
      </c>
      <c r="B6" s="2" t="s">
        <v>171</v>
      </c>
    </row>
    <row r="7">
      <c r="A7" s="2">
        <v>6.0</v>
      </c>
      <c r="B7" s="2" t="s">
        <v>172</v>
      </c>
    </row>
    <row r="8">
      <c r="A8" s="2">
        <v>7.0</v>
      </c>
      <c r="B8" s="2" t="s">
        <v>173</v>
      </c>
    </row>
    <row r="9">
      <c r="A9" s="2">
        <v>8.0</v>
      </c>
      <c r="B9" s="2" t="s">
        <v>174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71"/>
    <col customWidth="1" min="2" max="2" width="10.14"/>
    <col customWidth="1" min="3" max="6" width="8.86"/>
  </cols>
  <sheetData>
    <row r="1">
      <c r="A1" s="1" t="s">
        <v>166</v>
      </c>
      <c r="B1" s="1" t="s">
        <v>0</v>
      </c>
    </row>
    <row r="2">
      <c r="A2" s="2">
        <v>1.0</v>
      </c>
      <c r="B2" s="2">
        <v>200.0</v>
      </c>
    </row>
    <row r="3">
      <c r="A3" s="2">
        <v>1.0</v>
      </c>
      <c r="B3" s="2">
        <v>203.0</v>
      </c>
    </row>
    <row r="4">
      <c r="A4" s="2">
        <v>2.0</v>
      </c>
      <c r="B4" s="2">
        <v>251.0</v>
      </c>
    </row>
    <row r="5">
      <c r="A5" s="2">
        <v>3.0</v>
      </c>
      <c r="B5" s="2">
        <v>300.0</v>
      </c>
    </row>
    <row r="6">
      <c r="A6" s="2">
        <v>4.0</v>
      </c>
      <c r="B6" s="2">
        <v>302.0</v>
      </c>
    </row>
    <row r="7">
      <c r="A7" s="2">
        <v>5.0</v>
      </c>
      <c r="B7" s="2">
        <v>306.0</v>
      </c>
    </row>
    <row r="8">
      <c r="A8" s="2">
        <v>6.0</v>
      </c>
      <c r="B8" s="2">
        <v>321.0</v>
      </c>
    </row>
    <row r="9">
      <c r="A9" s="2">
        <v>7.0</v>
      </c>
      <c r="B9" s="2">
        <v>335.0</v>
      </c>
    </row>
    <row r="10">
      <c r="A10" s="2">
        <v>8.0</v>
      </c>
      <c r="B10" s="2">
        <v>404.0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14.0"/>
    <col customWidth="1" min="3" max="3" width="17.29"/>
    <col customWidth="1" min="4" max="6" width="10.71"/>
  </cols>
  <sheetData>
    <row r="1">
      <c r="A1" s="2" t="s">
        <v>175</v>
      </c>
      <c r="B1" s="2" t="s">
        <v>0</v>
      </c>
      <c r="C1" s="2" t="s">
        <v>176</v>
      </c>
    </row>
    <row r="2">
      <c r="A2" s="2">
        <v>1.0</v>
      </c>
      <c r="B2" s="2" t="s">
        <v>39</v>
      </c>
      <c r="C2" s="2" t="s">
        <v>177</v>
      </c>
    </row>
    <row r="3">
      <c r="A3" s="2">
        <v>2.0</v>
      </c>
      <c r="B3" s="2" t="s">
        <v>39</v>
      </c>
      <c r="C3" s="2" t="s">
        <v>178</v>
      </c>
    </row>
    <row r="4">
      <c r="A4" s="2">
        <v>3.0</v>
      </c>
      <c r="B4" s="2" t="s">
        <v>39</v>
      </c>
      <c r="C4" s="2" t="s">
        <v>179</v>
      </c>
    </row>
    <row r="5">
      <c r="A5" s="2">
        <v>4.0</v>
      </c>
      <c r="B5" s="2" t="s">
        <v>39</v>
      </c>
      <c r="C5" s="2" t="s">
        <v>180</v>
      </c>
    </row>
    <row r="6">
      <c r="A6" s="2">
        <v>5.0</v>
      </c>
      <c r="B6" s="2" t="s">
        <v>39</v>
      </c>
      <c r="C6" s="2" t="s">
        <v>181</v>
      </c>
    </row>
    <row r="7">
      <c r="A7" s="2">
        <v>6.0</v>
      </c>
      <c r="B7" s="2" t="s">
        <v>39</v>
      </c>
      <c r="C7" s="2" t="s">
        <v>182</v>
      </c>
    </row>
    <row r="8">
      <c r="A8" s="2">
        <v>7.0</v>
      </c>
      <c r="B8" s="2" t="s">
        <v>43</v>
      </c>
      <c r="C8" s="2" t="s">
        <v>183</v>
      </c>
    </row>
    <row r="9">
      <c r="A9" s="2">
        <v>8.0</v>
      </c>
      <c r="B9" s="2" t="s">
        <v>43</v>
      </c>
      <c r="C9" s="2" t="s">
        <v>184</v>
      </c>
    </row>
    <row r="10">
      <c r="A10" s="2">
        <v>9.0</v>
      </c>
      <c r="B10" s="2" t="s">
        <v>43</v>
      </c>
      <c r="C10" s="2" t="s">
        <v>185</v>
      </c>
    </row>
    <row r="11">
      <c r="A11" s="2">
        <v>10.0</v>
      </c>
      <c r="B11" s="2" t="s">
        <v>57</v>
      </c>
      <c r="C11" s="2" t="s">
        <v>186</v>
      </c>
    </row>
    <row r="12">
      <c r="A12" s="2">
        <v>11.0</v>
      </c>
      <c r="B12" s="2" t="s">
        <v>57</v>
      </c>
      <c r="C12" s="2" t="s">
        <v>187</v>
      </c>
    </row>
    <row r="13">
      <c r="A13" s="2">
        <v>12.0</v>
      </c>
      <c r="B13" s="2" t="s">
        <v>27</v>
      </c>
      <c r="C13" s="2" t="s">
        <v>188</v>
      </c>
    </row>
    <row r="14">
      <c r="A14" s="2">
        <v>13.0</v>
      </c>
      <c r="B14" s="2" t="s">
        <v>47</v>
      </c>
      <c r="C14" s="2" t="s">
        <v>189</v>
      </c>
    </row>
    <row r="15">
      <c r="A15" s="2">
        <v>14.0</v>
      </c>
      <c r="B15" s="2" t="s">
        <v>47</v>
      </c>
      <c r="C15" s="2" t="s">
        <v>190</v>
      </c>
    </row>
    <row r="16">
      <c r="A16" s="2">
        <v>15.0</v>
      </c>
      <c r="B16" s="2" t="s">
        <v>47</v>
      </c>
      <c r="C16" s="2" t="s">
        <v>191</v>
      </c>
    </row>
    <row r="17">
      <c r="A17" s="2">
        <v>16.0</v>
      </c>
      <c r="B17" s="2" t="s">
        <v>47</v>
      </c>
      <c r="C17" s="2" t="s">
        <v>192</v>
      </c>
    </row>
    <row r="18" ht="15.0" customHeight="1">
      <c r="A18" s="2">
        <v>17.0</v>
      </c>
      <c r="B18" s="2" t="s">
        <v>54</v>
      </c>
      <c r="C18" s="2" t="s">
        <v>193</v>
      </c>
    </row>
    <row r="19" ht="15.0" customHeight="1">
      <c r="A19" s="2">
        <v>18.0</v>
      </c>
      <c r="B19" s="2" t="s">
        <v>54</v>
      </c>
      <c r="C19" s="2" t="s">
        <v>194</v>
      </c>
    </row>
    <row r="20" ht="15.0" customHeight="1">
      <c r="A20" s="2">
        <v>19.0</v>
      </c>
      <c r="B20" s="2" t="s">
        <v>54</v>
      </c>
      <c r="C20" s="2" t="s">
        <v>195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5.0"/>
    <col customWidth="1" min="3" max="4" width="75.86"/>
    <col customWidth="1" min="5" max="6" width="10.71"/>
  </cols>
  <sheetData>
    <row r="1">
      <c r="A1" s="1" t="s">
        <v>196</v>
      </c>
      <c r="B1" s="1" t="s">
        <v>197</v>
      </c>
      <c r="C1" s="1" t="s">
        <v>198</v>
      </c>
      <c r="D1" s="2"/>
      <c r="E1" s="2"/>
      <c r="F1" s="2"/>
      <c r="G1" s="2"/>
      <c r="H1" s="2"/>
      <c r="I1" s="2"/>
      <c r="J1" s="2"/>
      <c r="K1" s="2"/>
      <c r="L1" s="2"/>
      <c r="M1" s="2"/>
      <c r="N1" s="2"/>
      <c r="O1" s="2"/>
      <c r="P1" s="2"/>
      <c r="Q1" s="2"/>
      <c r="R1" s="2"/>
      <c r="S1" s="2"/>
      <c r="T1" s="2"/>
      <c r="U1" s="2"/>
      <c r="V1" s="2"/>
      <c r="W1" s="2"/>
      <c r="X1" s="2"/>
    </row>
    <row r="2">
      <c r="A2" s="8">
        <v>1.0</v>
      </c>
      <c r="B2" s="2" t="s">
        <v>199</v>
      </c>
      <c r="C2" s="9" t="s">
        <v>200</v>
      </c>
      <c r="D2" s="2"/>
      <c r="E2" s="2"/>
      <c r="F2" s="2"/>
      <c r="G2" s="2"/>
      <c r="H2" s="2"/>
      <c r="I2" s="2"/>
      <c r="J2" s="2"/>
      <c r="K2" s="2"/>
      <c r="L2" s="2"/>
      <c r="M2" s="2"/>
      <c r="N2" s="2"/>
      <c r="O2" s="2"/>
      <c r="P2" s="2"/>
      <c r="Q2" s="2"/>
      <c r="R2" s="2"/>
      <c r="S2" s="2"/>
      <c r="T2" s="2"/>
      <c r="U2" s="2"/>
      <c r="V2" s="2"/>
      <c r="W2" s="2"/>
      <c r="X2" s="2"/>
    </row>
    <row r="3">
      <c r="A3" s="8">
        <v>2.0</v>
      </c>
      <c r="B3" s="2" t="s">
        <v>201</v>
      </c>
      <c r="C3" s="9" t="s">
        <v>202</v>
      </c>
      <c r="D3" s="2"/>
      <c r="E3" s="2"/>
      <c r="F3" s="2"/>
      <c r="G3" s="2"/>
      <c r="H3" s="2"/>
      <c r="I3" s="2"/>
      <c r="J3" s="2"/>
      <c r="K3" s="2"/>
      <c r="L3" s="2"/>
      <c r="M3" s="2"/>
      <c r="N3" s="2"/>
      <c r="O3" s="2"/>
      <c r="P3" s="2"/>
      <c r="Q3" s="2"/>
      <c r="R3" s="2"/>
      <c r="S3" s="2"/>
      <c r="T3" s="2"/>
      <c r="U3" s="2"/>
      <c r="V3" s="2"/>
      <c r="W3" s="2"/>
      <c r="X3" s="2"/>
    </row>
    <row r="4">
      <c r="A4" s="8">
        <v>3.0</v>
      </c>
      <c r="B4" s="2" t="s">
        <v>203</v>
      </c>
      <c r="C4" s="9" t="s">
        <v>204</v>
      </c>
      <c r="D4" s="2"/>
      <c r="E4" s="2"/>
      <c r="F4" s="2"/>
      <c r="G4" s="2"/>
      <c r="H4" s="2"/>
      <c r="I4" s="2"/>
      <c r="J4" s="2"/>
      <c r="K4" s="2"/>
      <c r="L4" s="2"/>
      <c r="M4" s="2"/>
      <c r="N4" s="2"/>
      <c r="O4" s="2"/>
      <c r="P4" s="2"/>
      <c r="Q4" s="2"/>
      <c r="R4" s="2"/>
      <c r="S4" s="2"/>
      <c r="T4" s="2"/>
      <c r="U4" s="2"/>
      <c r="V4" s="2"/>
      <c r="W4" s="2"/>
      <c r="X4" s="2"/>
    </row>
    <row r="5">
      <c r="A5" s="2"/>
      <c r="B5" s="2"/>
      <c r="C5" s="2"/>
      <c r="D5" s="2"/>
      <c r="E5" s="2"/>
      <c r="F5" s="2"/>
      <c r="G5" s="2"/>
      <c r="H5" s="2"/>
      <c r="I5" s="2"/>
      <c r="J5" s="2"/>
      <c r="K5" s="2"/>
      <c r="L5" s="2"/>
      <c r="M5" s="2"/>
      <c r="N5" s="2"/>
      <c r="O5" s="2"/>
      <c r="P5" s="2"/>
      <c r="Q5" s="2"/>
      <c r="R5" s="2"/>
      <c r="S5" s="2"/>
      <c r="T5" s="2"/>
      <c r="U5" s="2"/>
      <c r="V5" s="2"/>
      <c r="W5" s="2"/>
      <c r="X5" s="2"/>
    </row>
    <row r="6">
      <c r="A6" s="2"/>
      <c r="B6" s="2"/>
      <c r="C6" s="2"/>
      <c r="D6" s="2"/>
      <c r="E6" s="2"/>
      <c r="F6" s="2"/>
      <c r="G6" s="2"/>
      <c r="H6" s="2"/>
      <c r="I6" s="2"/>
      <c r="J6" s="2"/>
      <c r="K6" s="2"/>
      <c r="L6" s="2"/>
      <c r="M6" s="2"/>
      <c r="N6" s="2"/>
      <c r="O6" s="2"/>
      <c r="P6" s="2"/>
      <c r="Q6" s="2"/>
      <c r="R6" s="2"/>
      <c r="S6" s="2"/>
      <c r="T6" s="2"/>
      <c r="U6" s="2"/>
      <c r="V6" s="2"/>
      <c r="W6" s="2"/>
      <c r="X6" s="2"/>
    </row>
    <row r="7">
      <c r="A7" s="2"/>
      <c r="B7" s="2"/>
      <c r="C7" s="2"/>
      <c r="D7" s="2"/>
      <c r="E7" s="2"/>
      <c r="F7" s="2"/>
      <c r="G7" s="2"/>
      <c r="H7" s="2"/>
      <c r="I7" s="2"/>
      <c r="J7" s="2"/>
      <c r="K7" s="2"/>
      <c r="L7" s="2"/>
      <c r="M7" s="2"/>
      <c r="N7" s="2"/>
      <c r="O7" s="2"/>
      <c r="P7" s="2"/>
      <c r="Q7" s="2"/>
      <c r="R7" s="2"/>
      <c r="S7" s="2"/>
      <c r="T7" s="2"/>
      <c r="U7" s="2"/>
      <c r="V7" s="2"/>
      <c r="W7" s="2"/>
      <c r="X7" s="2"/>
    </row>
    <row r="8">
      <c r="A8" s="2"/>
      <c r="B8" s="2"/>
      <c r="C8" s="2"/>
      <c r="D8" s="2"/>
      <c r="E8" s="2"/>
      <c r="F8" s="2"/>
      <c r="G8" s="2"/>
      <c r="H8" s="2"/>
      <c r="I8" s="2"/>
      <c r="J8" s="2"/>
      <c r="K8" s="2"/>
      <c r="L8" s="2"/>
      <c r="M8" s="2"/>
      <c r="N8" s="2"/>
      <c r="O8" s="2"/>
      <c r="P8" s="2"/>
      <c r="Q8" s="2"/>
      <c r="R8" s="2"/>
      <c r="S8" s="2"/>
      <c r="T8" s="2"/>
      <c r="U8" s="2"/>
      <c r="V8" s="2"/>
      <c r="W8" s="2"/>
      <c r="X8" s="2"/>
    </row>
    <row r="9">
      <c r="A9" s="2"/>
      <c r="B9" s="2"/>
      <c r="C9" s="2"/>
      <c r="D9" s="2"/>
      <c r="E9" s="2"/>
      <c r="F9" s="2"/>
      <c r="G9" s="2"/>
      <c r="H9" s="2"/>
      <c r="I9" s="2"/>
      <c r="J9" s="2"/>
      <c r="K9" s="2"/>
      <c r="L9" s="2"/>
      <c r="M9" s="2"/>
      <c r="N9" s="2"/>
      <c r="O9" s="2"/>
      <c r="P9" s="2"/>
      <c r="Q9" s="2"/>
      <c r="R9" s="2"/>
      <c r="S9" s="2"/>
      <c r="T9" s="2"/>
      <c r="U9" s="2"/>
      <c r="V9" s="2"/>
      <c r="W9" s="2"/>
      <c r="X9" s="2"/>
    </row>
    <row r="10">
      <c r="A10" s="2"/>
      <c r="B10" s="2"/>
      <c r="C10" s="2"/>
      <c r="D10" s="2"/>
      <c r="E10" s="2"/>
      <c r="F10" s="2"/>
      <c r="G10" s="2"/>
      <c r="H10" s="2"/>
      <c r="I10" s="2"/>
      <c r="J10" s="2"/>
      <c r="K10" s="2"/>
      <c r="L10" s="2"/>
      <c r="M10" s="2"/>
      <c r="N10" s="2"/>
      <c r="O10" s="2"/>
      <c r="P10" s="2"/>
      <c r="Q10" s="2"/>
      <c r="R10" s="2"/>
      <c r="S10" s="2"/>
      <c r="T10" s="2"/>
      <c r="U10" s="2"/>
      <c r="V10" s="2"/>
      <c r="W10" s="2"/>
      <c r="X10" s="2"/>
    </row>
    <row r="11">
      <c r="A11" s="2"/>
      <c r="B11" s="2"/>
      <c r="C11" s="2"/>
      <c r="D11" s="2"/>
      <c r="E11" s="2"/>
      <c r="F11" s="2"/>
      <c r="G11" s="2"/>
      <c r="H11" s="2"/>
      <c r="I11" s="2"/>
      <c r="J11" s="2"/>
      <c r="K11" s="2"/>
      <c r="L11" s="2"/>
      <c r="M11" s="2"/>
      <c r="N11" s="2"/>
      <c r="O11" s="2"/>
      <c r="P11" s="2"/>
      <c r="Q11" s="2"/>
      <c r="R11" s="2"/>
      <c r="S11" s="2"/>
      <c r="T11" s="2"/>
      <c r="U11" s="2"/>
      <c r="V11" s="2"/>
      <c r="W11" s="2"/>
      <c r="X11" s="2"/>
    </row>
    <row r="12">
      <c r="A12" s="2"/>
      <c r="B12" s="2"/>
      <c r="C12" s="2"/>
      <c r="D12" s="2"/>
      <c r="E12" s="2"/>
      <c r="F12" s="2"/>
      <c r="G12" s="2"/>
      <c r="H12" s="2"/>
      <c r="I12" s="2"/>
      <c r="J12" s="2"/>
      <c r="K12" s="2"/>
      <c r="L12" s="2"/>
      <c r="M12" s="2"/>
      <c r="N12" s="2"/>
      <c r="O12" s="2"/>
      <c r="P12" s="2"/>
      <c r="Q12" s="2"/>
      <c r="R12" s="2"/>
      <c r="S12" s="2"/>
      <c r="T12" s="2"/>
      <c r="U12" s="2"/>
      <c r="V12" s="2"/>
      <c r="W12" s="2"/>
      <c r="X12" s="2"/>
    </row>
    <row r="13">
      <c r="A13" s="2"/>
      <c r="B13" s="2"/>
      <c r="C13" s="2"/>
      <c r="D13" s="2"/>
      <c r="E13" s="2"/>
      <c r="F13" s="2"/>
      <c r="G13" s="2"/>
      <c r="H13" s="2"/>
      <c r="I13" s="2"/>
      <c r="J13" s="2"/>
      <c r="K13" s="2"/>
      <c r="L13" s="2"/>
      <c r="M13" s="2"/>
      <c r="N13" s="2"/>
      <c r="O13" s="2"/>
      <c r="P13" s="2"/>
      <c r="Q13" s="2"/>
      <c r="R13" s="2"/>
      <c r="S13" s="2"/>
      <c r="T13" s="2"/>
      <c r="U13" s="2"/>
      <c r="V13" s="2"/>
      <c r="W13" s="2"/>
      <c r="X13" s="2"/>
    </row>
    <row r="14">
      <c r="A14" s="2"/>
      <c r="B14" s="2"/>
      <c r="C14" s="2"/>
      <c r="D14" s="2"/>
      <c r="E14" s="2"/>
      <c r="F14" s="2"/>
      <c r="G14" s="2"/>
      <c r="H14" s="2"/>
      <c r="I14" s="2"/>
      <c r="J14" s="2"/>
      <c r="K14" s="2"/>
      <c r="L14" s="2"/>
      <c r="M14" s="2"/>
      <c r="N14" s="2"/>
      <c r="O14" s="2"/>
      <c r="P14" s="2"/>
      <c r="Q14" s="2"/>
      <c r="R14" s="2"/>
      <c r="S14" s="2"/>
      <c r="T14" s="2"/>
      <c r="U14" s="2"/>
      <c r="V14" s="2"/>
      <c r="W14" s="2"/>
      <c r="X14" s="2"/>
    </row>
    <row r="15">
      <c r="A15" s="2"/>
      <c r="B15" s="2"/>
      <c r="C15" s="2"/>
      <c r="D15" s="2"/>
      <c r="E15" s="2"/>
      <c r="F15" s="2"/>
      <c r="G15" s="2"/>
      <c r="H15" s="2"/>
      <c r="I15" s="2"/>
      <c r="J15" s="2"/>
      <c r="K15" s="2"/>
      <c r="L15" s="2"/>
      <c r="M15" s="2"/>
      <c r="N15" s="2"/>
      <c r="O15" s="2"/>
      <c r="P15" s="2"/>
      <c r="Q15" s="2"/>
      <c r="R15" s="2"/>
      <c r="S15" s="2"/>
      <c r="T15" s="2"/>
      <c r="U15" s="2"/>
      <c r="V15" s="2"/>
      <c r="W15" s="2"/>
      <c r="X15" s="2"/>
    </row>
    <row r="16">
      <c r="A16" s="2"/>
      <c r="B16" s="2"/>
      <c r="C16" s="2"/>
      <c r="D16" s="2"/>
      <c r="E16" s="2"/>
      <c r="F16" s="2"/>
      <c r="G16" s="2"/>
      <c r="H16" s="2"/>
      <c r="I16" s="2"/>
      <c r="J16" s="2"/>
      <c r="K16" s="2"/>
      <c r="L16" s="2"/>
      <c r="M16" s="2"/>
      <c r="N16" s="2"/>
      <c r="O16" s="2"/>
      <c r="P16" s="2"/>
      <c r="Q16" s="2"/>
      <c r="R16" s="2"/>
      <c r="S16" s="2"/>
      <c r="T16" s="2"/>
      <c r="U16" s="2"/>
      <c r="V16" s="2"/>
      <c r="W16" s="2"/>
      <c r="X16" s="2"/>
    </row>
    <row r="17">
      <c r="A17" s="2"/>
      <c r="B17" s="2"/>
      <c r="C17" s="2"/>
      <c r="D17" s="2"/>
      <c r="E17" s="2"/>
      <c r="F17" s="2"/>
      <c r="G17" s="2"/>
      <c r="H17" s="2"/>
      <c r="I17" s="2"/>
      <c r="J17" s="2"/>
      <c r="K17" s="2"/>
      <c r="L17" s="2"/>
      <c r="M17" s="2"/>
      <c r="N17" s="2"/>
      <c r="O17" s="2"/>
      <c r="P17" s="2"/>
      <c r="Q17" s="2"/>
      <c r="R17" s="2"/>
      <c r="S17" s="2"/>
      <c r="T17" s="2"/>
      <c r="U17" s="2"/>
      <c r="V17" s="2"/>
      <c r="W17" s="2"/>
      <c r="X17" s="2"/>
    </row>
    <row r="18">
      <c r="A18" s="2"/>
      <c r="B18" s="2"/>
      <c r="C18" s="2"/>
      <c r="D18" s="2"/>
      <c r="E18" s="2"/>
      <c r="F18" s="2"/>
      <c r="G18" s="2"/>
      <c r="H18" s="2"/>
      <c r="I18" s="2"/>
      <c r="J18" s="2"/>
      <c r="K18" s="2"/>
      <c r="L18" s="2"/>
      <c r="M18" s="2"/>
      <c r="N18" s="2"/>
      <c r="O18" s="2"/>
      <c r="P18" s="2"/>
      <c r="Q18" s="2"/>
      <c r="R18" s="2"/>
      <c r="S18" s="2"/>
      <c r="T18" s="2"/>
      <c r="U18" s="2"/>
      <c r="V18" s="2"/>
      <c r="W18" s="2"/>
      <c r="X18" s="2"/>
    </row>
    <row r="19">
      <c r="A19" s="2"/>
      <c r="B19" s="2"/>
      <c r="C19" s="2"/>
      <c r="D19" s="2"/>
      <c r="E19" s="2"/>
      <c r="F19" s="2"/>
      <c r="G19" s="2"/>
      <c r="H19" s="2"/>
      <c r="I19" s="2"/>
      <c r="J19" s="2"/>
      <c r="K19" s="2"/>
      <c r="L19" s="2"/>
      <c r="M19" s="2"/>
      <c r="N19" s="2"/>
      <c r="O19" s="2"/>
      <c r="P19" s="2"/>
      <c r="Q19" s="2"/>
      <c r="R19" s="2"/>
      <c r="S19" s="2"/>
      <c r="T19" s="2"/>
      <c r="U19" s="2"/>
      <c r="V19" s="2"/>
      <c r="W19" s="2"/>
      <c r="X19" s="2"/>
    </row>
    <row r="20" ht="15.75" customHeight="1">
      <c r="A20" s="2"/>
      <c r="B20" s="2"/>
      <c r="C20" s="2"/>
      <c r="D20" s="2"/>
      <c r="E20" s="2"/>
      <c r="F20" s="2"/>
      <c r="G20" s="2"/>
      <c r="H20" s="2"/>
      <c r="I20" s="2"/>
      <c r="J20" s="2"/>
      <c r="K20" s="2"/>
      <c r="L20" s="2"/>
      <c r="M20" s="2"/>
      <c r="N20" s="2"/>
      <c r="O20" s="2"/>
      <c r="P20" s="2"/>
      <c r="Q20" s="2"/>
      <c r="R20" s="2"/>
      <c r="S20" s="2"/>
      <c r="T20" s="2"/>
      <c r="U20" s="2"/>
      <c r="V20" s="2"/>
      <c r="W20" s="2"/>
      <c r="X20" s="2"/>
    </row>
    <row r="21" ht="15.75" customHeight="1">
      <c r="A21" s="2"/>
      <c r="B21" s="2"/>
      <c r="C21" s="2"/>
      <c r="D21" s="2"/>
      <c r="E21" s="2"/>
      <c r="F21" s="2"/>
      <c r="G21" s="2"/>
      <c r="H21" s="2"/>
      <c r="I21" s="2"/>
      <c r="J21" s="2"/>
      <c r="K21" s="2"/>
      <c r="L21" s="2"/>
      <c r="M21" s="2"/>
      <c r="N21" s="2"/>
      <c r="O21" s="2"/>
      <c r="P21" s="2"/>
      <c r="Q21" s="2"/>
      <c r="R21" s="2"/>
      <c r="S21" s="2"/>
      <c r="T21" s="2"/>
      <c r="U21" s="2"/>
      <c r="V21" s="2"/>
      <c r="W21" s="2"/>
      <c r="X21" s="2"/>
    </row>
    <row r="22" ht="15.75" customHeight="1">
      <c r="A22" s="2"/>
      <c r="B22" s="2"/>
      <c r="C22" s="2"/>
      <c r="D22" s="2"/>
      <c r="E22" s="2"/>
      <c r="F22" s="2"/>
      <c r="G22" s="2"/>
      <c r="H22" s="2"/>
      <c r="I22" s="2"/>
      <c r="J22" s="2"/>
      <c r="K22" s="2"/>
      <c r="L22" s="2"/>
      <c r="M22" s="2"/>
      <c r="N22" s="2"/>
      <c r="O22" s="2"/>
      <c r="P22" s="2"/>
      <c r="Q22" s="2"/>
      <c r="R22" s="2"/>
      <c r="S22" s="2"/>
      <c r="T22" s="2"/>
      <c r="U22" s="2"/>
      <c r="V22" s="2"/>
      <c r="W22" s="2"/>
      <c r="X22" s="2"/>
    </row>
    <row r="23" ht="15.75" customHeight="1">
      <c r="A23" s="2"/>
      <c r="B23" s="2"/>
      <c r="C23" s="2"/>
      <c r="D23" s="2"/>
      <c r="E23" s="2"/>
      <c r="F23" s="2"/>
      <c r="G23" s="2"/>
      <c r="H23" s="2"/>
      <c r="I23" s="2"/>
      <c r="J23" s="2"/>
      <c r="K23" s="2"/>
      <c r="L23" s="2"/>
      <c r="M23" s="2"/>
      <c r="N23" s="2"/>
      <c r="O23" s="2"/>
      <c r="P23" s="2"/>
      <c r="Q23" s="2"/>
      <c r="R23" s="2"/>
      <c r="S23" s="2"/>
      <c r="T23" s="2"/>
      <c r="U23" s="2"/>
      <c r="V23" s="2"/>
      <c r="W23" s="2"/>
      <c r="X23" s="2"/>
    </row>
    <row r="24" ht="15.75" customHeight="1">
      <c r="A24" s="2"/>
      <c r="B24" s="2"/>
      <c r="C24" s="2"/>
      <c r="D24" s="2"/>
      <c r="E24" s="2"/>
      <c r="F24" s="2"/>
      <c r="G24" s="2"/>
      <c r="H24" s="2"/>
      <c r="I24" s="2"/>
      <c r="J24" s="2"/>
      <c r="K24" s="2"/>
      <c r="L24" s="2"/>
      <c r="M24" s="2"/>
      <c r="N24" s="2"/>
      <c r="O24" s="2"/>
      <c r="P24" s="2"/>
      <c r="Q24" s="2"/>
      <c r="R24" s="2"/>
      <c r="S24" s="2"/>
      <c r="T24" s="2"/>
      <c r="U24" s="2"/>
      <c r="V24" s="2"/>
      <c r="W24" s="2"/>
      <c r="X24" s="2"/>
    </row>
    <row r="25" ht="15.75" customHeight="1">
      <c r="A25" s="2"/>
      <c r="B25" s="2"/>
      <c r="C25" s="2"/>
      <c r="D25" s="2"/>
      <c r="E25" s="2"/>
      <c r="F25" s="2"/>
      <c r="G25" s="2"/>
      <c r="H25" s="2"/>
      <c r="I25" s="2"/>
      <c r="J25" s="2"/>
      <c r="K25" s="2"/>
      <c r="L25" s="2"/>
      <c r="M25" s="2"/>
      <c r="N25" s="2"/>
      <c r="O25" s="2"/>
      <c r="P25" s="2"/>
      <c r="Q25" s="2"/>
      <c r="R25" s="2"/>
      <c r="S25" s="2"/>
      <c r="T25" s="2"/>
      <c r="U25" s="2"/>
      <c r="V25" s="2"/>
      <c r="W25" s="2"/>
      <c r="X25" s="2"/>
    </row>
    <row r="26" ht="15.75" customHeight="1">
      <c r="A26" s="2"/>
      <c r="B26" s="2"/>
      <c r="C26" s="2"/>
      <c r="D26" s="2"/>
      <c r="E26" s="2"/>
      <c r="F26" s="2"/>
      <c r="G26" s="2"/>
      <c r="H26" s="2"/>
      <c r="I26" s="2"/>
      <c r="J26" s="2"/>
      <c r="K26" s="2"/>
      <c r="L26" s="2"/>
      <c r="M26" s="2"/>
      <c r="N26" s="2"/>
      <c r="O26" s="2"/>
      <c r="P26" s="2"/>
      <c r="Q26" s="2"/>
      <c r="R26" s="2"/>
      <c r="S26" s="2"/>
      <c r="T26" s="2"/>
      <c r="U26" s="2"/>
      <c r="V26" s="2"/>
      <c r="W26" s="2"/>
      <c r="X26" s="2"/>
    </row>
    <row r="27" ht="15.75" customHeight="1">
      <c r="A27" s="2"/>
      <c r="B27" s="2"/>
      <c r="C27" s="2"/>
      <c r="D27" s="2"/>
      <c r="E27" s="2"/>
      <c r="F27" s="2"/>
      <c r="G27" s="2"/>
      <c r="H27" s="2"/>
      <c r="I27" s="2"/>
      <c r="J27" s="2"/>
      <c r="K27" s="2"/>
      <c r="L27" s="2"/>
      <c r="M27" s="2"/>
      <c r="N27" s="2"/>
      <c r="O27" s="2"/>
      <c r="P27" s="2"/>
      <c r="Q27" s="2"/>
      <c r="R27" s="2"/>
      <c r="S27" s="2"/>
      <c r="T27" s="2"/>
      <c r="U27" s="2"/>
      <c r="V27" s="2"/>
      <c r="W27" s="2"/>
      <c r="X27" s="2"/>
    </row>
    <row r="28" ht="15.75" customHeight="1">
      <c r="A28" s="2"/>
      <c r="B28" s="2"/>
      <c r="C28" s="2"/>
      <c r="D28" s="2"/>
      <c r="E28" s="2"/>
      <c r="F28" s="2"/>
      <c r="G28" s="2"/>
      <c r="H28" s="2"/>
      <c r="I28" s="2"/>
      <c r="J28" s="2"/>
      <c r="K28" s="2"/>
      <c r="L28" s="2"/>
      <c r="M28" s="2"/>
      <c r="N28" s="2"/>
      <c r="O28" s="2"/>
      <c r="P28" s="2"/>
      <c r="Q28" s="2"/>
      <c r="R28" s="2"/>
      <c r="S28" s="2"/>
      <c r="T28" s="2"/>
      <c r="U28" s="2"/>
      <c r="V28" s="2"/>
      <c r="W28" s="2"/>
      <c r="X28" s="2"/>
    </row>
    <row r="29" ht="15.75" customHeight="1">
      <c r="A29" s="2"/>
      <c r="B29" s="2"/>
      <c r="C29" s="2"/>
      <c r="D29" s="2"/>
      <c r="E29" s="2"/>
      <c r="F29" s="2"/>
      <c r="G29" s="2"/>
      <c r="H29" s="2"/>
      <c r="I29" s="2"/>
      <c r="J29" s="2"/>
      <c r="K29" s="2"/>
      <c r="L29" s="2"/>
      <c r="M29" s="2"/>
      <c r="N29" s="2"/>
      <c r="O29" s="2"/>
      <c r="P29" s="2"/>
      <c r="Q29" s="2"/>
      <c r="R29" s="2"/>
      <c r="S29" s="2"/>
      <c r="T29" s="2"/>
      <c r="U29" s="2"/>
      <c r="V29" s="2"/>
      <c r="W29" s="2"/>
      <c r="X29" s="2"/>
    </row>
    <row r="30" ht="15.75" customHeight="1">
      <c r="A30" s="2"/>
      <c r="B30" s="2"/>
      <c r="C30" s="2"/>
      <c r="D30" s="2"/>
      <c r="E30" s="2"/>
      <c r="F30" s="2"/>
      <c r="G30" s="2"/>
      <c r="H30" s="2"/>
      <c r="I30" s="2"/>
      <c r="J30" s="2"/>
      <c r="K30" s="2"/>
      <c r="L30" s="2"/>
      <c r="M30" s="2"/>
      <c r="N30" s="2"/>
      <c r="O30" s="2"/>
      <c r="P30" s="2"/>
      <c r="Q30" s="2"/>
      <c r="R30" s="2"/>
      <c r="S30" s="2"/>
      <c r="T30" s="2"/>
      <c r="U30" s="2"/>
      <c r="V30" s="2"/>
      <c r="W30" s="2"/>
      <c r="X30" s="2"/>
    </row>
    <row r="31" ht="15.75" customHeight="1">
      <c r="A31" s="2"/>
      <c r="B31" s="2"/>
      <c r="C31" s="2"/>
      <c r="D31" s="2"/>
      <c r="E31" s="2"/>
      <c r="F31" s="2"/>
      <c r="G31" s="2"/>
      <c r="H31" s="2"/>
      <c r="I31" s="2"/>
      <c r="J31" s="2"/>
      <c r="K31" s="2"/>
      <c r="L31" s="2"/>
      <c r="M31" s="2"/>
      <c r="N31" s="2"/>
      <c r="O31" s="2"/>
      <c r="P31" s="2"/>
      <c r="Q31" s="2"/>
      <c r="R31" s="2"/>
      <c r="S31" s="2"/>
      <c r="T31" s="2"/>
      <c r="U31" s="2"/>
      <c r="V31" s="2"/>
      <c r="W31" s="2"/>
      <c r="X31" s="2"/>
    </row>
    <row r="32" ht="15.75" customHeight="1">
      <c r="A32" s="2"/>
      <c r="B32" s="2"/>
      <c r="C32" s="2"/>
      <c r="D32" s="2"/>
      <c r="E32" s="2"/>
      <c r="F32" s="2"/>
      <c r="G32" s="2"/>
      <c r="H32" s="2"/>
      <c r="I32" s="2"/>
      <c r="J32" s="2"/>
      <c r="K32" s="2"/>
      <c r="L32" s="2"/>
      <c r="M32" s="2"/>
      <c r="N32" s="2"/>
      <c r="O32" s="2"/>
      <c r="P32" s="2"/>
      <c r="Q32" s="2"/>
      <c r="R32" s="2"/>
      <c r="S32" s="2"/>
      <c r="T32" s="2"/>
      <c r="U32" s="2"/>
      <c r="V32" s="2"/>
      <c r="W32" s="2"/>
      <c r="X32" s="2"/>
    </row>
    <row r="33" ht="15.75" customHeight="1">
      <c r="A33" s="2"/>
      <c r="B33" s="2"/>
      <c r="C33" s="2"/>
      <c r="D33" s="2"/>
      <c r="E33" s="2"/>
      <c r="F33" s="2"/>
      <c r="G33" s="2"/>
      <c r="H33" s="2"/>
      <c r="I33" s="2"/>
      <c r="J33" s="2"/>
      <c r="K33" s="2"/>
      <c r="L33" s="2"/>
      <c r="M33" s="2"/>
      <c r="N33" s="2"/>
      <c r="O33" s="2"/>
      <c r="P33" s="2"/>
      <c r="Q33" s="2"/>
      <c r="R33" s="2"/>
      <c r="S33" s="2"/>
      <c r="T33" s="2"/>
      <c r="U33" s="2"/>
      <c r="V33" s="2"/>
      <c r="W33" s="2"/>
      <c r="X33" s="2"/>
    </row>
    <row r="34" ht="15.75" customHeight="1">
      <c r="A34" s="2"/>
      <c r="B34" s="2"/>
      <c r="C34" s="2"/>
      <c r="D34" s="2"/>
      <c r="E34" s="2"/>
      <c r="F34" s="2"/>
      <c r="G34" s="2"/>
      <c r="H34" s="2"/>
      <c r="I34" s="2"/>
      <c r="J34" s="2"/>
      <c r="K34" s="2"/>
      <c r="L34" s="2"/>
      <c r="M34" s="2"/>
      <c r="N34" s="2"/>
      <c r="O34" s="2"/>
      <c r="P34" s="2"/>
      <c r="Q34" s="2"/>
      <c r="R34" s="2"/>
      <c r="S34" s="2"/>
      <c r="T34" s="2"/>
      <c r="U34" s="2"/>
      <c r="V34" s="2"/>
      <c r="W34" s="2"/>
      <c r="X34" s="2"/>
    </row>
    <row r="35" ht="15.75" customHeight="1">
      <c r="A35" s="2"/>
      <c r="B35" s="2"/>
      <c r="C35" s="2"/>
      <c r="D35" s="2"/>
      <c r="E35" s="2"/>
      <c r="F35" s="2"/>
      <c r="G35" s="2"/>
      <c r="H35" s="2"/>
      <c r="I35" s="2"/>
      <c r="J35" s="2"/>
      <c r="K35" s="2"/>
      <c r="L35" s="2"/>
      <c r="M35" s="2"/>
      <c r="N35" s="2"/>
      <c r="O35" s="2"/>
      <c r="P35" s="2"/>
      <c r="Q35" s="2"/>
      <c r="R35" s="2"/>
      <c r="S35" s="2"/>
      <c r="T35" s="2"/>
      <c r="U35" s="2"/>
      <c r="V35" s="2"/>
      <c r="W35" s="2"/>
      <c r="X35" s="2"/>
    </row>
    <row r="36" ht="15.75" customHeight="1">
      <c r="A36" s="2"/>
      <c r="B36" s="2"/>
      <c r="C36" s="2"/>
      <c r="D36" s="2"/>
      <c r="E36" s="2"/>
      <c r="F36" s="2"/>
      <c r="G36" s="2"/>
      <c r="H36" s="2"/>
      <c r="I36" s="2"/>
      <c r="J36" s="2"/>
      <c r="K36" s="2"/>
      <c r="L36" s="2"/>
      <c r="M36" s="2"/>
      <c r="N36" s="2"/>
      <c r="O36" s="2"/>
      <c r="P36" s="2"/>
      <c r="Q36" s="2"/>
      <c r="R36" s="2"/>
      <c r="S36" s="2"/>
      <c r="T36" s="2"/>
      <c r="U36" s="2"/>
      <c r="V36" s="2"/>
      <c r="W36" s="2"/>
      <c r="X36" s="2"/>
    </row>
    <row r="37" ht="15.75" customHeight="1">
      <c r="A37" s="2"/>
      <c r="B37" s="2"/>
      <c r="C37" s="2"/>
      <c r="D37" s="2"/>
      <c r="E37" s="2"/>
      <c r="F37" s="2"/>
      <c r="G37" s="2"/>
      <c r="H37" s="2"/>
      <c r="I37" s="2"/>
      <c r="J37" s="2"/>
      <c r="K37" s="2"/>
      <c r="L37" s="2"/>
      <c r="M37" s="2"/>
      <c r="N37" s="2"/>
      <c r="O37" s="2"/>
      <c r="P37" s="2"/>
      <c r="Q37" s="2"/>
      <c r="R37" s="2"/>
      <c r="S37" s="2"/>
      <c r="T37" s="2"/>
      <c r="U37" s="2"/>
      <c r="V37" s="2"/>
      <c r="W37" s="2"/>
      <c r="X37" s="2"/>
    </row>
    <row r="38" ht="15.75" customHeight="1">
      <c r="A38" s="2"/>
      <c r="B38" s="2"/>
      <c r="C38" s="2"/>
      <c r="D38" s="2"/>
      <c r="E38" s="2"/>
      <c r="F38" s="2"/>
      <c r="G38" s="2"/>
      <c r="H38" s="2"/>
      <c r="I38" s="2"/>
      <c r="J38" s="2"/>
      <c r="K38" s="2"/>
      <c r="L38" s="2"/>
      <c r="M38" s="2"/>
      <c r="N38" s="2"/>
      <c r="O38" s="2"/>
      <c r="P38" s="2"/>
      <c r="Q38" s="2"/>
      <c r="R38" s="2"/>
      <c r="S38" s="2"/>
      <c r="T38" s="2"/>
      <c r="U38" s="2"/>
      <c r="V38" s="2"/>
      <c r="W38" s="2"/>
      <c r="X38" s="2"/>
    </row>
    <row r="39" ht="15.75" customHeight="1">
      <c r="A39" s="2"/>
      <c r="B39" s="2"/>
      <c r="C39" s="2"/>
      <c r="D39" s="2"/>
      <c r="E39" s="2"/>
      <c r="F39" s="2"/>
      <c r="G39" s="2"/>
      <c r="H39" s="2"/>
      <c r="I39" s="2"/>
      <c r="J39" s="2"/>
      <c r="K39" s="2"/>
      <c r="L39" s="2"/>
      <c r="M39" s="2"/>
      <c r="N39" s="2"/>
      <c r="O39" s="2"/>
      <c r="P39" s="2"/>
      <c r="Q39" s="2"/>
      <c r="R39" s="2"/>
      <c r="S39" s="2"/>
      <c r="T39" s="2"/>
      <c r="U39" s="2"/>
      <c r="V39" s="2"/>
      <c r="W39" s="2"/>
      <c r="X39" s="2"/>
    </row>
    <row r="40" ht="15.75" customHeight="1">
      <c r="A40" s="2"/>
      <c r="B40" s="2"/>
      <c r="C40" s="2"/>
      <c r="D40" s="2"/>
      <c r="E40" s="2"/>
      <c r="F40" s="2"/>
      <c r="G40" s="2"/>
      <c r="H40" s="2"/>
      <c r="I40" s="2"/>
      <c r="J40" s="2"/>
      <c r="K40" s="2"/>
      <c r="L40" s="2"/>
      <c r="M40" s="2"/>
      <c r="N40" s="2"/>
      <c r="O40" s="2"/>
      <c r="P40" s="2"/>
      <c r="Q40" s="2"/>
      <c r="R40" s="2"/>
      <c r="S40" s="2"/>
      <c r="T40" s="2"/>
      <c r="U40" s="2"/>
      <c r="V40" s="2"/>
      <c r="W40" s="2"/>
      <c r="X40" s="2"/>
    </row>
    <row r="41" ht="15.75" customHeight="1">
      <c r="A41" s="2"/>
      <c r="B41" s="2"/>
      <c r="C41" s="2"/>
      <c r="D41" s="2"/>
      <c r="E41" s="2"/>
      <c r="F41" s="2"/>
      <c r="G41" s="2"/>
      <c r="H41" s="2"/>
      <c r="I41" s="2"/>
      <c r="J41" s="2"/>
      <c r="K41" s="2"/>
      <c r="L41" s="2"/>
      <c r="M41" s="2"/>
      <c r="N41" s="2"/>
      <c r="O41" s="2"/>
      <c r="P41" s="2"/>
      <c r="Q41" s="2"/>
      <c r="R41" s="2"/>
      <c r="S41" s="2"/>
      <c r="T41" s="2"/>
      <c r="U41" s="2"/>
      <c r="V41" s="2"/>
      <c r="W41" s="2"/>
      <c r="X41" s="2"/>
    </row>
    <row r="42" ht="15.75" customHeight="1">
      <c r="A42" s="2"/>
      <c r="B42" s="2"/>
      <c r="C42" s="2"/>
      <c r="D42" s="2"/>
      <c r="E42" s="2"/>
      <c r="F42" s="2"/>
      <c r="G42" s="2"/>
      <c r="H42" s="2"/>
      <c r="I42" s="2"/>
      <c r="J42" s="2"/>
      <c r="K42" s="2"/>
      <c r="L42" s="2"/>
      <c r="M42" s="2"/>
      <c r="N42" s="2"/>
      <c r="O42" s="2"/>
      <c r="P42" s="2"/>
      <c r="Q42" s="2"/>
      <c r="R42" s="2"/>
      <c r="S42" s="2"/>
      <c r="T42" s="2"/>
      <c r="U42" s="2"/>
      <c r="V42" s="2"/>
      <c r="W42" s="2"/>
      <c r="X42" s="2"/>
    </row>
    <row r="43" ht="15.75" customHeight="1">
      <c r="A43" s="2"/>
      <c r="B43" s="2"/>
      <c r="C43" s="2"/>
      <c r="D43" s="2"/>
      <c r="E43" s="2"/>
      <c r="F43" s="2"/>
      <c r="G43" s="2"/>
      <c r="H43" s="2"/>
      <c r="I43" s="2"/>
      <c r="J43" s="2"/>
      <c r="K43" s="2"/>
      <c r="L43" s="2"/>
      <c r="M43" s="2"/>
      <c r="N43" s="2"/>
      <c r="O43" s="2"/>
      <c r="P43" s="2"/>
      <c r="Q43" s="2"/>
      <c r="R43" s="2"/>
      <c r="S43" s="2"/>
      <c r="T43" s="2"/>
      <c r="U43" s="2"/>
      <c r="V43" s="2"/>
      <c r="W43" s="2"/>
      <c r="X43" s="2"/>
    </row>
    <row r="44" ht="15.75" customHeight="1">
      <c r="A44" s="2"/>
      <c r="B44" s="2"/>
      <c r="C44" s="2"/>
      <c r="D44" s="2"/>
      <c r="E44" s="2"/>
      <c r="F44" s="2"/>
      <c r="G44" s="2"/>
      <c r="H44" s="2"/>
      <c r="I44" s="2"/>
      <c r="J44" s="2"/>
      <c r="K44" s="2"/>
      <c r="L44" s="2"/>
      <c r="M44" s="2"/>
      <c r="N44" s="2"/>
      <c r="O44" s="2"/>
      <c r="P44" s="2"/>
      <c r="Q44" s="2"/>
      <c r="R44" s="2"/>
      <c r="S44" s="2"/>
      <c r="T44" s="2"/>
      <c r="U44" s="2"/>
      <c r="V44" s="2"/>
      <c r="W44" s="2"/>
      <c r="X44" s="2"/>
    </row>
    <row r="45" ht="15.75" customHeight="1">
      <c r="A45" s="2"/>
      <c r="B45" s="2"/>
      <c r="C45" s="2"/>
      <c r="D45" s="2"/>
      <c r="E45" s="2"/>
      <c r="F45" s="2"/>
      <c r="G45" s="2"/>
      <c r="H45" s="2"/>
      <c r="I45" s="2"/>
      <c r="J45" s="2"/>
      <c r="K45" s="2"/>
      <c r="L45" s="2"/>
      <c r="M45" s="2"/>
      <c r="N45" s="2"/>
      <c r="O45" s="2"/>
      <c r="P45" s="2"/>
      <c r="Q45" s="2"/>
      <c r="R45" s="2"/>
      <c r="S45" s="2"/>
      <c r="T45" s="2"/>
      <c r="U45" s="2"/>
      <c r="V45" s="2"/>
      <c r="W45" s="2"/>
      <c r="X45" s="2"/>
    </row>
    <row r="46" ht="15.75" customHeight="1">
      <c r="A46" s="2"/>
      <c r="B46" s="2"/>
      <c r="C46" s="2"/>
      <c r="D46" s="2"/>
      <c r="E46" s="2"/>
      <c r="F46" s="2"/>
      <c r="G46" s="2"/>
      <c r="H46" s="2"/>
      <c r="I46" s="2"/>
      <c r="J46" s="2"/>
      <c r="K46" s="2"/>
      <c r="L46" s="2"/>
      <c r="M46" s="2"/>
      <c r="N46" s="2"/>
      <c r="O46" s="2"/>
      <c r="P46" s="2"/>
      <c r="Q46" s="2"/>
      <c r="R46" s="2"/>
      <c r="S46" s="2"/>
      <c r="T46" s="2"/>
      <c r="U46" s="2"/>
      <c r="V46" s="2"/>
      <c r="W46" s="2"/>
      <c r="X46" s="2"/>
    </row>
    <row r="47" ht="15.75" customHeight="1">
      <c r="A47" s="2"/>
      <c r="B47" s="2"/>
      <c r="C47" s="2"/>
      <c r="D47" s="2"/>
      <c r="E47" s="2"/>
      <c r="F47" s="2"/>
      <c r="G47" s="2"/>
      <c r="H47" s="2"/>
      <c r="I47" s="2"/>
      <c r="J47" s="2"/>
      <c r="K47" s="2"/>
      <c r="L47" s="2"/>
      <c r="M47" s="2"/>
      <c r="N47" s="2"/>
      <c r="O47" s="2"/>
      <c r="P47" s="2"/>
      <c r="Q47" s="2"/>
      <c r="R47" s="2"/>
      <c r="S47" s="2"/>
      <c r="T47" s="2"/>
      <c r="U47" s="2"/>
      <c r="V47" s="2"/>
      <c r="W47" s="2"/>
      <c r="X47" s="2"/>
    </row>
    <row r="48" ht="15.75" customHeight="1">
      <c r="A48" s="2"/>
      <c r="B48" s="2"/>
      <c r="C48" s="2"/>
      <c r="D48" s="2"/>
      <c r="E48" s="2"/>
      <c r="F48" s="2"/>
      <c r="G48" s="2"/>
      <c r="H48" s="2"/>
      <c r="I48" s="2"/>
      <c r="J48" s="2"/>
      <c r="K48" s="2"/>
      <c r="L48" s="2"/>
      <c r="M48" s="2"/>
      <c r="N48" s="2"/>
      <c r="O48" s="2"/>
      <c r="P48" s="2"/>
      <c r="Q48" s="2"/>
      <c r="R48" s="2"/>
      <c r="S48" s="2"/>
      <c r="T48" s="2"/>
      <c r="U48" s="2"/>
      <c r="V48" s="2"/>
      <c r="W48" s="2"/>
      <c r="X48" s="2"/>
    </row>
    <row r="49" ht="15.75" customHeight="1">
      <c r="A49" s="2"/>
      <c r="B49" s="2"/>
      <c r="C49" s="2"/>
      <c r="D49" s="2"/>
      <c r="E49" s="2"/>
      <c r="F49" s="2"/>
      <c r="G49" s="2"/>
      <c r="H49" s="2"/>
      <c r="I49" s="2"/>
      <c r="J49" s="2"/>
      <c r="K49" s="2"/>
      <c r="L49" s="2"/>
      <c r="M49" s="2"/>
      <c r="N49" s="2"/>
      <c r="O49" s="2"/>
      <c r="P49" s="2"/>
      <c r="Q49" s="2"/>
      <c r="R49" s="2"/>
      <c r="S49" s="2"/>
      <c r="T49" s="2"/>
      <c r="U49" s="2"/>
      <c r="V49" s="2"/>
      <c r="W49" s="2"/>
      <c r="X49" s="2"/>
    </row>
    <row r="50" ht="15.75" customHeight="1">
      <c r="A50" s="2"/>
      <c r="B50" s="2"/>
      <c r="C50" s="2"/>
      <c r="D50" s="2"/>
      <c r="E50" s="2"/>
      <c r="F50" s="2"/>
      <c r="G50" s="2"/>
      <c r="H50" s="2"/>
      <c r="I50" s="2"/>
      <c r="J50" s="2"/>
      <c r="K50" s="2"/>
      <c r="L50" s="2"/>
      <c r="M50" s="2"/>
      <c r="N50" s="2"/>
      <c r="O50" s="2"/>
      <c r="P50" s="2"/>
      <c r="Q50" s="2"/>
      <c r="R50" s="2"/>
      <c r="S50" s="2"/>
      <c r="T50" s="2"/>
      <c r="U50" s="2"/>
      <c r="V50" s="2"/>
      <c r="W50" s="2"/>
      <c r="X50" s="2"/>
    </row>
    <row r="51" ht="15.75" customHeight="1">
      <c r="A51" s="2"/>
      <c r="B51" s="2"/>
      <c r="C51" s="2"/>
      <c r="D51" s="2"/>
      <c r="E51" s="2"/>
      <c r="F51" s="2"/>
      <c r="G51" s="2"/>
      <c r="H51" s="2"/>
      <c r="I51" s="2"/>
      <c r="J51" s="2"/>
      <c r="K51" s="2"/>
      <c r="L51" s="2"/>
      <c r="M51" s="2"/>
      <c r="N51" s="2"/>
      <c r="O51" s="2"/>
      <c r="P51" s="2"/>
      <c r="Q51" s="2"/>
      <c r="R51" s="2"/>
      <c r="S51" s="2"/>
      <c r="T51" s="2"/>
      <c r="U51" s="2"/>
      <c r="V51" s="2"/>
      <c r="W51" s="2"/>
      <c r="X51" s="2"/>
    </row>
    <row r="52" ht="15.75" customHeight="1">
      <c r="A52" s="2"/>
      <c r="B52" s="2"/>
      <c r="C52" s="2"/>
      <c r="D52" s="2"/>
      <c r="E52" s="2"/>
      <c r="F52" s="2"/>
      <c r="G52" s="2"/>
      <c r="H52" s="2"/>
      <c r="I52" s="2"/>
      <c r="J52" s="2"/>
      <c r="K52" s="2"/>
      <c r="L52" s="2"/>
      <c r="M52" s="2"/>
      <c r="N52" s="2"/>
      <c r="O52" s="2"/>
      <c r="P52" s="2"/>
      <c r="Q52" s="2"/>
      <c r="R52" s="2"/>
      <c r="S52" s="2"/>
      <c r="T52" s="2"/>
      <c r="U52" s="2"/>
      <c r="V52" s="2"/>
      <c r="W52" s="2"/>
      <c r="X52" s="2"/>
    </row>
    <row r="53" ht="15.75" customHeight="1">
      <c r="A53" s="2"/>
      <c r="B53" s="2"/>
      <c r="C53" s="2"/>
      <c r="D53" s="2"/>
      <c r="E53" s="2"/>
      <c r="F53" s="2"/>
      <c r="G53" s="2"/>
      <c r="H53" s="2"/>
      <c r="I53" s="2"/>
      <c r="J53" s="2"/>
      <c r="K53" s="2"/>
      <c r="L53" s="2"/>
      <c r="M53" s="2"/>
      <c r="N53" s="2"/>
      <c r="O53" s="2"/>
      <c r="P53" s="2"/>
      <c r="Q53" s="2"/>
      <c r="R53" s="2"/>
      <c r="S53" s="2"/>
      <c r="T53" s="2"/>
      <c r="U53" s="2"/>
      <c r="V53" s="2"/>
      <c r="W53" s="2"/>
      <c r="X53" s="2"/>
    </row>
    <row r="54" ht="15.75" customHeight="1">
      <c r="A54" s="2"/>
      <c r="B54" s="2"/>
      <c r="C54" s="2"/>
      <c r="D54" s="2"/>
      <c r="E54" s="2"/>
      <c r="F54" s="2"/>
      <c r="G54" s="2"/>
      <c r="H54" s="2"/>
      <c r="I54" s="2"/>
      <c r="J54" s="2"/>
      <c r="K54" s="2"/>
      <c r="L54" s="2"/>
      <c r="M54" s="2"/>
      <c r="N54" s="2"/>
      <c r="O54" s="2"/>
      <c r="P54" s="2"/>
      <c r="Q54" s="2"/>
      <c r="R54" s="2"/>
      <c r="S54" s="2"/>
      <c r="T54" s="2"/>
      <c r="U54" s="2"/>
      <c r="V54" s="2"/>
      <c r="W54" s="2"/>
      <c r="X54" s="2"/>
    </row>
    <row r="55" ht="15.75" customHeight="1">
      <c r="A55" s="2"/>
      <c r="B55" s="2"/>
      <c r="C55" s="2"/>
      <c r="D55" s="2"/>
      <c r="E55" s="2"/>
      <c r="F55" s="2"/>
      <c r="G55" s="2"/>
      <c r="H55" s="2"/>
      <c r="I55" s="2"/>
      <c r="J55" s="2"/>
      <c r="K55" s="2"/>
      <c r="L55" s="2"/>
      <c r="M55" s="2"/>
      <c r="N55" s="2"/>
      <c r="O55" s="2"/>
      <c r="P55" s="2"/>
      <c r="Q55" s="2"/>
      <c r="R55" s="2"/>
      <c r="S55" s="2"/>
      <c r="T55" s="2"/>
      <c r="U55" s="2"/>
      <c r="V55" s="2"/>
      <c r="W55" s="2"/>
      <c r="X55" s="2"/>
    </row>
    <row r="56" ht="15.75" customHeight="1">
      <c r="A56" s="2"/>
      <c r="B56" s="2"/>
      <c r="C56" s="2"/>
      <c r="D56" s="2"/>
      <c r="E56" s="2"/>
      <c r="F56" s="2"/>
      <c r="G56" s="2"/>
      <c r="H56" s="2"/>
      <c r="I56" s="2"/>
      <c r="J56" s="2"/>
      <c r="K56" s="2"/>
      <c r="L56" s="2"/>
      <c r="M56" s="2"/>
      <c r="N56" s="2"/>
      <c r="O56" s="2"/>
      <c r="P56" s="2"/>
      <c r="Q56" s="2"/>
      <c r="R56" s="2"/>
      <c r="S56" s="2"/>
      <c r="T56" s="2"/>
      <c r="U56" s="2"/>
      <c r="V56" s="2"/>
      <c r="W56" s="2"/>
      <c r="X56" s="2"/>
    </row>
    <row r="57" ht="15.75" customHeight="1">
      <c r="A57" s="2"/>
      <c r="B57" s="2"/>
      <c r="C57" s="2"/>
      <c r="D57" s="2"/>
      <c r="E57" s="2"/>
      <c r="F57" s="2"/>
      <c r="G57" s="2"/>
      <c r="H57" s="2"/>
      <c r="I57" s="2"/>
      <c r="J57" s="2"/>
      <c r="K57" s="2"/>
      <c r="L57" s="2"/>
      <c r="M57" s="2"/>
      <c r="N57" s="2"/>
      <c r="O57" s="2"/>
      <c r="P57" s="2"/>
      <c r="Q57" s="2"/>
      <c r="R57" s="2"/>
      <c r="S57" s="2"/>
      <c r="T57" s="2"/>
      <c r="U57" s="2"/>
      <c r="V57" s="2"/>
      <c r="W57" s="2"/>
      <c r="X57" s="2"/>
    </row>
    <row r="58" ht="15.75" customHeight="1">
      <c r="A58" s="2"/>
      <c r="B58" s="2"/>
      <c r="C58" s="2"/>
      <c r="D58" s="2"/>
      <c r="E58" s="2"/>
      <c r="F58" s="2"/>
      <c r="G58" s="2"/>
      <c r="H58" s="2"/>
      <c r="I58" s="2"/>
      <c r="J58" s="2"/>
      <c r="K58" s="2"/>
      <c r="L58" s="2"/>
      <c r="M58" s="2"/>
      <c r="N58" s="2"/>
      <c r="O58" s="2"/>
      <c r="P58" s="2"/>
      <c r="Q58" s="2"/>
      <c r="R58" s="2"/>
      <c r="S58" s="2"/>
      <c r="T58" s="2"/>
      <c r="U58" s="2"/>
      <c r="V58" s="2"/>
      <c r="W58" s="2"/>
      <c r="X58" s="2"/>
    </row>
    <row r="59" ht="15.75" customHeight="1">
      <c r="A59" s="2"/>
      <c r="B59" s="2"/>
      <c r="C59" s="2"/>
      <c r="D59" s="2"/>
      <c r="E59" s="2"/>
      <c r="F59" s="2"/>
      <c r="G59" s="2"/>
      <c r="H59" s="2"/>
      <c r="I59" s="2"/>
      <c r="J59" s="2"/>
      <c r="K59" s="2"/>
      <c r="L59" s="2"/>
      <c r="M59" s="2"/>
      <c r="N59" s="2"/>
      <c r="O59" s="2"/>
      <c r="P59" s="2"/>
      <c r="Q59" s="2"/>
      <c r="R59" s="2"/>
      <c r="S59" s="2"/>
      <c r="T59" s="2"/>
      <c r="U59" s="2"/>
      <c r="V59" s="2"/>
      <c r="W59" s="2"/>
      <c r="X59" s="2"/>
    </row>
    <row r="60" ht="15.75" customHeight="1">
      <c r="A60" s="2"/>
      <c r="B60" s="2"/>
      <c r="C60" s="2"/>
      <c r="D60" s="2"/>
      <c r="E60" s="2"/>
      <c r="F60" s="2"/>
      <c r="G60" s="2"/>
      <c r="H60" s="2"/>
      <c r="I60" s="2"/>
      <c r="J60" s="2"/>
      <c r="K60" s="2"/>
      <c r="L60" s="2"/>
      <c r="M60" s="2"/>
      <c r="N60" s="2"/>
      <c r="O60" s="2"/>
      <c r="P60" s="2"/>
      <c r="Q60" s="2"/>
      <c r="R60" s="2"/>
      <c r="S60" s="2"/>
      <c r="T60" s="2"/>
      <c r="U60" s="2"/>
      <c r="V60" s="2"/>
      <c r="W60" s="2"/>
      <c r="X60" s="2"/>
    </row>
    <row r="61" ht="15.75" customHeight="1">
      <c r="A61" s="2"/>
      <c r="B61" s="2"/>
      <c r="C61" s="2"/>
      <c r="D61" s="2"/>
      <c r="E61" s="2"/>
      <c r="F61" s="2"/>
      <c r="G61" s="2"/>
      <c r="H61" s="2"/>
      <c r="I61" s="2"/>
      <c r="J61" s="2"/>
      <c r="K61" s="2"/>
      <c r="L61" s="2"/>
      <c r="M61" s="2"/>
      <c r="N61" s="2"/>
      <c r="O61" s="2"/>
      <c r="P61" s="2"/>
      <c r="Q61" s="2"/>
      <c r="R61" s="2"/>
      <c r="S61" s="2"/>
      <c r="T61" s="2"/>
      <c r="U61" s="2"/>
      <c r="V61" s="2"/>
      <c r="W61" s="2"/>
      <c r="X61" s="2"/>
    </row>
    <row r="62" ht="15.75" customHeight="1">
      <c r="A62" s="2"/>
      <c r="B62" s="2"/>
      <c r="C62" s="2"/>
      <c r="D62" s="2"/>
      <c r="E62" s="2"/>
      <c r="F62" s="2"/>
      <c r="G62" s="2"/>
      <c r="H62" s="2"/>
      <c r="I62" s="2"/>
      <c r="J62" s="2"/>
      <c r="K62" s="2"/>
      <c r="L62" s="2"/>
      <c r="M62" s="2"/>
      <c r="N62" s="2"/>
      <c r="O62" s="2"/>
      <c r="P62" s="2"/>
      <c r="Q62" s="2"/>
      <c r="R62" s="2"/>
      <c r="S62" s="2"/>
      <c r="T62" s="2"/>
      <c r="U62" s="2"/>
      <c r="V62" s="2"/>
      <c r="W62" s="2"/>
      <c r="X62" s="2"/>
    </row>
    <row r="63" ht="15.75" customHeight="1">
      <c r="A63" s="2"/>
      <c r="B63" s="2"/>
      <c r="C63" s="2"/>
      <c r="D63" s="2"/>
      <c r="E63" s="2"/>
      <c r="F63" s="2"/>
      <c r="G63" s="2"/>
      <c r="H63" s="2"/>
      <c r="I63" s="2"/>
      <c r="J63" s="2"/>
      <c r="K63" s="2"/>
      <c r="L63" s="2"/>
      <c r="M63" s="2"/>
      <c r="N63" s="2"/>
      <c r="O63" s="2"/>
      <c r="P63" s="2"/>
      <c r="Q63" s="2"/>
      <c r="R63" s="2"/>
      <c r="S63" s="2"/>
      <c r="T63" s="2"/>
      <c r="U63" s="2"/>
      <c r="V63" s="2"/>
      <c r="W63" s="2"/>
      <c r="X63" s="2"/>
    </row>
    <row r="64" ht="15.75" customHeight="1">
      <c r="A64" s="2"/>
      <c r="B64" s="2"/>
      <c r="C64" s="2"/>
      <c r="D64" s="2"/>
      <c r="E64" s="2"/>
      <c r="F64" s="2"/>
      <c r="G64" s="2"/>
      <c r="H64" s="2"/>
      <c r="I64" s="2"/>
      <c r="J64" s="2"/>
      <c r="K64" s="2"/>
      <c r="L64" s="2"/>
      <c r="M64" s="2"/>
      <c r="N64" s="2"/>
      <c r="O64" s="2"/>
      <c r="P64" s="2"/>
      <c r="Q64" s="2"/>
      <c r="R64" s="2"/>
      <c r="S64" s="2"/>
      <c r="T64" s="2"/>
      <c r="U64" s="2"/>
      <c r="V64" s="2"/>
      <c r="W64" s="2"/>
      <c r="X64" s="2"/>
    </row>
    <row r="65" ht="15.75" customHeight="1">
      <c r="A65" s="2"/>
      <c r="B65" s="2"/>
      <c r="C65" s="2"/>
      <c r="D65" s="2"/>
      <c r="E65" s="2"/>
      <c r="F65" s="2"/>
      <c r="G65" s="2"/>
      <c r="H65" s="2"/>
      <c r="I65" s="2"/>
      <c r="J65" s="2"/>
      <c r="K65" s="2"/>
      <c r="L65" s="2"/>
      <c r="M65" s="2"/>
      <c r="N65" s="2"/>
      <c r="O65" s="2"/>
      <c r="P65" s="2"/>
      <c r="Q65" s="2"/>
      <c r="R65" s="2"/>
      <c r="S65" s="2"/>
      <c r="T65" s="2"/>
      <c r="U65" s="2"/>
      <c r="V65" s="2"/>
      <c r="W65" s="2"/>
      <c r="X65" s="2"/>
    </row>
    <row r="66" ht="15.75" customHeight="1">
      <c r="A66" s="2"/>
      <c r="B66" s="2"/>
      <c r="C66" s="2"/>
      <c r="D66" s="2"/>
      <c r="E66" s="2"/>
      <c r="F66" s="2"/>
      <c r="G66" s="2"/>
      <c r="H66" s="2"/>
      <c r="I66" s="2"/>
      <c r="J66" s="2"/>
      <c r="K66" s="2"/>
      <c r="L66" s="2"/>
      <c r="M66" s="2"/>
      <c r="N66" s="2"/>
      <c r="O66" s="2"/>
      <c r="P66" s="2"/>
      <c r="Q66" s="2"/>
      <c r="R66" s="2"/>
      <c r="S66" s="2"/>
      <c r="T66" s="2"/>
      <c r="U66" s="2"/>
      <c r="V66" s="2"/>
      <c r="W66" s="2"/>
      <c r="X66" s="2"/>
    </row>
    <row r="67" ht="15.75" customHeight="1">
      <c r="A67" s="2"/>
      <c r="B67" s="2"/>
      <c r="C67" s="2"/>
      <c r="D67" s="2"/>
      <c r="E67" s="2"/>
      <c r="F67" s="2"/>
      <c r="G67" s="2"/>
      <c r="H67" s="2"/>
      <c r="I67" s="2"/>
      <c r="J67" s="2"/>
      <c r="K67" s="2"/>
      <c r="L67" s="2"/>
      <c r="M67" s="2"/>
      <c r="N67" s="2"/>
      <c r="O67" s="2"/>
      <c r="P67" s="2"/>
      <c r="Q67" s="2"/>
      <c r="R67" s="2"/>
      <c r="S67" s="2"/>
      <c r="T67" s="2"/>
      <c r="U67" s="2"/>
      <c r="V67" s="2"/>
      <c r="W67" s="2"/>
      <c r="X67" s="2"/>
    </row>
    <row r="68" ht="15.75" customHeight="1">
      <c r="A68" s="2"/>
      <c r="B68" s="2"/>
      <c r="C68" s="2"/>
      <c r="D68" s="2"/>
      <c r="E68" s="2"/>
      <c r="F68" s="2"/>
      <c r="G68" s="2"/>
      <c r="H68" s="2"/>
      <c r="I68" s="2"/>
      <c r="J68" s="2"/>
      <c r="K68" s="2"/>
      <c r="L68" s="2"/>
      <c r="M68" s="2"/>
      <c r="N68" s="2"/>
      <c r="O68" s="2"/>
      <c r="P68" s="2"/>
      <c r="Q68" s="2"/>
      <c r="R68" s="2"/>
      <c r="S68" s="2"/>
      <c r="T68" s="2"/>
      <c r="U68" s="2"/>
      <c r="V68" s="2"/>
      <c r="W68" s="2"/>
      <c r="X68" s="2"/>
    </row>
    <row r="69" ht="15.75" customHeight="1">
      <c r="A69" s="2"/>
      <c r="B69" s="2"/>
      <c r="C69" s="2"/>
      <c r="D69" s="2"/>
      <c r="E69" s="2"/>
      <c r="F69" s="2"/>
      <c r="G69" s="2"/>
      <c r="H69" s="2"/>
      <c r="I69" s="2"/>
      <c r="J69" s="2"/>
      <c r="K69" s="2"/>
      <c r="L69" s="2"/>
      <c r="M69" s="2"/>
      <c r="N69" s="2"/>
      <c r="O69" s="2"/>
      <c r="P69" s="2"/>
      <c r="Q69" s="2"/>
      <c r="R69" s="2"/>
      <c r="S69" s="2"/>
      <c r="T69" s="2"/>
      <c r="U69" s="2"/>
      <c r="V69" s="2"/>
      <c r="W69" s="2"/>
      <c r="X69" s="2"/>
    </row>
    <row r="70" ht="15.75" customHeight="1">
      <c r="A70" s="2"/>
      <c r="B70" s="2"/>
      <c r="C70" s="2"/>
      <c r="D70" s="2"/>
      <c r="E70" s="2"/>
      <c r="F70" s="2"/>
      <c r="G70" s="2"/>
      <c r="H70" s="2"/>
      <c r="I70" s="2"/>
      <c r="J70" s="2"/>
      <c r="K70" s="2"/>
      <c r="L70" s="2"/>
      <c r="M70" s="2"/>
      <c r="N70" s="2"/>
      <c r="O70" s="2"/>
      <c r="P70" s="2"/>
      <c r="Q70" s="2"/>
      <c r="R70" s="2"/>
      <c r="S70" s="2"/>
      <c r="T70" s="2"/>
      <c r="U70" s="2"/>
      <c r="V70" s="2"/>
      <c r="W70" s="2"/>
      <c r="X70" s="2"/>
    </row>
    <row r="71" ht="15.75" customHeight="1">
      <c r="A71" s="2"/>
      <c r="B71" s="2"/>
      <c r="C71" s="2"/>
      <c r="D71" s="2"/>
      <c r="E71" s="2"/>
      <c r="F71" s="2"/>
      <c r="G71" s="2"/>
      <c r="H71" s="2"/>
      <c r="I71" s="2"/>
      <c r="J71" s="2"/>
      <c r="K71" s="2"/>
      <c r="L71" s="2"/>
      <c r="M71" s="2"/>
      <c r="N71" s="2"/>
      <c r="O71" s="2"/>
      <c r="P71" s="2"/>
      <c r="Q71" s="2"/>
      <c r="R71" s="2"/>
      <c r="S71" s="2"/>
      <c r="T71" s="2"/>
      <c r="U71" s="2"/>
      <c r="V71" s="2"/>
      <c r="W71" s="2"/>
      <c r="X71" s="2"/>
    </row>
    <row r="72" ht="15.75" customHeight="1">
      <c r="A72" s="2"/>
      <c r="B72" s="2"/>
      <c r="C72" s="2"/>
      <c r="D72" s="2"/>
      <c r="E72" s="2"/>
      <c r="F72" s="2"/>
      <c r="G72" s="2"/>
      <c r="H72" s="2"/>
      <c r="I72" s="2"/>
      <c r="J72" s="2"/>
      <c r="K72" s="2"/>
      <c r="L72" s="2"/>
      <c r="M72" s="2"/>
      <c r="N72" s="2"/>
      <c r="O72" s="2"/>
      <c r="P72" s="2"/>
      <c r="Q72" s="2"/>
      <c r="R72" s="2"/>
      <c r="S72" s="2"/>
      <c r="T72" s="2"/>
      <c r="U72" s="2"/>
      <c r="V72" s="2"/>
      <c r="W72" s="2"/>
      <c r="X72" s="2"/>
    </row>
    <row r="73" ht="15.75" customHeight="1">
      <c r="A73" s="2"/>
      <c r="B73" s="2"/>
      <c r="C73" s="2"/>
      <c r="D73" s="2"/>
      <c r="E73" s="2"/>
      <c r="F73" s="2"/>
      <c r="G73" s="2"/>
      <c r="H73" s="2"/>
      <c r="I73" s="2"/>
      <c r="J73" s="2"/>
      <c r="K73" s="2"/>
      <c r="L73" s="2"/>
      <c r="M73" s="2"/>
      <c r="N73" s="2"/>
      <c r="O73" s="2"/>
      <c r="P73" s="2"/>
      <c r="Q73" s="2"/>
      <c r="R73" s="2"/>
      <c r="S73" s="2"/>
      <c r="T73" s="2"/>
      <c r="U73" s="2"/>
      <c r="V73" s="2"/>
      <c r="W73" s="2"/>
      <c r="X73" s="2"/>
    </row>
    <row r="74" ht="15.75" customHeight="1">
      <c r="A74" s="2"/>
      <c r="B74" s="2"/>
      <c r="C74" s="2"/>
      <c r="D74" s="2"/>
      <c r="E74" s="2"/>
      <c r="F74" s="2"/>
      <c r="G74" s="2"/>
      <c r="H74" s="2"/>
      <c r="I74" s="2"/>
      <c r="J74" s="2"/>
      <c r="K74" s="2"/>
      <c r="L74" s="2"/>
      <c r="M74" s="2"/>
      <c r="N74" s="2"/>
      <c r="O74" s="2"/>
      <c r="P74" s="2"/>
      <c r="Q74" s="2"/>
      <c r="R74" s="2"/>
      <c r="S74" s="2"/>
      <c r="T74" s="2"/>
      <c r="U74" s="2"/>
      <c r="V74" s="2"/>
      <c r="W74" s="2"/>
      <c r="X74" s="2"/>
    </row>
    <row r="75" ht="15.75" customHeight="1">
      <c r="A75" s="2"/>
      <c r="B75" s="2"/>
      <c r="C75" s="2"/>
      <c r="D75" s="2"/>
      <c r="E75" s="2"/>
      <c r="F75" s="2"/>
      <c r="G75" s="2"/>
      <c r="H75" s="2"/>
      <c r="I75" s="2"/>
      <c r="J75" s="2"/>
      <c r="K75" s="2"/>
      <c r="L75" s="2"/>
      <c r="M75" s="2"/>
      <c r="N75" s="2"/>
      <c r="O75" s="2"/>
      <c r="P75" s="2"/>
      <c r="Q75" s="2"/>
      <c r="R75" s="2"/>
      <c r="S75" s="2"/>
      <c r="T75" s="2"/>
      <c r="U75" s="2"/>
      <c r="V75" s="2"/>
      <c r="W75" s="2"/>
      <c r="X75" s="2"/>
    </row>
    <row r="76" ht="15.75" customHeight="1">
      <c r="A76" s="2"/>
      <c r="B76" s="2"/>
      <c r="C76" s="2"/>
      <c r="D76" s="2"/>
      <c r="E76" s="2"/>
      <c r="F76" s="2"/>
      <c r="G76" s="2"/>
      <c r="H76" s="2"/>
      <c r="I76" s="2"/>
      <c r="J76" s="2"/>
      <c r="K76" s="2"/>
      <c r="L76" s="2"/>
      <c r="M76" s="2"/>
      <c r="N76" s="2"/>
      <c r="O76" s="2"/>
      <c r="P76" s="2"/>
      <c r="Q76" s="2"/>
      <c r="R76" s="2"/>
      <c r="S76" s="2"/>
      <c r="T76" s="2"/>
      <c r="U76" s="2"/>
      <c r="V76" s="2"/>
      <c r="W76" s="2"/>
      <c r="X76" s="2"/>
    </row>
    <row r="77" ht="15.75" customHeight="1">
      <c r="A77" s="2"/>
      <c r="B77" s="2"/>
      <c r="C77" s="2"/>
      <c r="D77" s="2"/>
      <c r="E77" s="2"/>
      <c r="F77" s="2"/>
      <c r="G77" s="2"/>
      <c r="H77" s="2"/>
      <c r="I77" s="2"/>
      <c r="J77" s="2"/>
      <c r="K77" s="2"/>
      <c r="L77" s="2"/>
      <c r="M77" s="2"/>
      <c r="N77" s="2"/>
      <c r="O77" s="2"/>
      <c r="P77" s="2"/>
      <c r="Q77" s="2"/>
      <c r="R77" s="2"/>
      <c r="S77" s="2"/>
      <c r="T77" s="2"/>
      <c r="U77" s="2"/>
      <c r="V77" s="2"/>
      <c r="W77" s="2"/>
      <c r="X77" s="2"/>
    </row>
    <row r="78" ht="15.75" customHeight="1">
      <c r="A78" s="2"/>
      <c r="B78" s="2"/>
      <c r="C78" s="2"/>
      <c r="D78" s="2"/>
      <c r="E78" s="2"/>
      <c r="F78" s="2"/>
      <c r="G78" s="2"/>
      <c r="H78" s="2"/>
      <c r="I78" s="2"/>
      <c r="J78" s="2"/>
      <c r="K78" s="2"/>
      <c r="L78" s="2"/>
      <c r="M78" s="2"/>
      <c r="N78" s="2"/>
      <c r="O78" s="2"/>
      <c r="P78" s="2"/>
      <c r="Q78" s="2"/>
      <c r="R78" s="2"/>
      <c r="S78" s="2"/>
      <c r="T78" s="2"/>
      <c r="U78" s="2"/>
      <c r="V78" s="2"/>
      <c r="W78" s="2"/>
      <c r="X78" s="2"/>
    </row>
    <row r="79" ht="15.75" customHeight="1">
      <c r="A79" s="2"/>
      <c r="B79" s="2"/>
      <c r="C79" s="2"/>
      <c r="D79" s="2"/>
      <c r="E79" s="2"/>
      <c r="F79" s="2"/>
      <c r="G79" s="2"/>
      <c r="H79" s="2"/>
      <c r="I79" s="2"/>
      <c r="J79" s="2"/>
      <c r="K79" s="2"/>
      <c r="L79" s="2"/>
      <c r="M79" s="2"/>
      <c r="N79" s="2"/>
      <c r="O79" s="2"/>
      <c r="P79" s="2"/>
      <c r="Q79" s="2"/>
      <c r="R79" s="2"/>
      <c r="S79" s="2"/>
      <c r="T79" s="2"/>
      <c r="U79" s="2"/>
      <c r="V79" s="2"/>
      <c r="W79" s="2"/>
      <c r="X79" s="2"/>
    </row>
    <row r="80" ht="15.75" customHeight="1">
      <c r="A80" s="2"/>
      <c r="B80" s="2"/>
      <c r="C80" s="2"/>
      <c r="D80" s="2"/>
      <c r="E80" s="2"/>
      <c r="F80" s="2"/>
      <c r="G80" s="2"/>
      <c r="H80" s="2"/>
      <c r="I80" s="2"/>
      <c r="J80" s="2"/>
      <c r="K80" s="2"/>
      <c r="L80" s="2"/>
      <c r="M80" s="2"/>
      <c r="N80" s="2"/>
      <c r="O80" s="2"/>
      <c r="P80" s="2"/>
      <c r="Q80" s="2"/>
      <c r="R80" s="2"/>
      <c r="S80" s="2"/>
      <c r="T80" s="2"/>
      <c r="U80" s="2"/>
      <c r="V80" s="2"/>
      <c r="W80" s="2"/>
      <c r="X80" s="2"/>
    </row>
    <row r="81" ht="15.75" customHeight="1">
      <c r="A81" s="2"/>
      <c r="B81" s="2"/>
      <c r="C81" s="2"/>
      <c r="D81" s="2"/>
      <c r="E81" s="2"/>
      <c r="F81" s="2"/>
      <c r="G81" s="2"/>
      <c r="H81" s="2"/>
      <c r="I81" s="2"/>
      <c r="J81" s="2"/>
      <c r="K81" s="2"/>
      <c r="L81" s="2"/>
      <c r="M81" s="2"/>
      <c r="N81" s="2"/>
      <c r="O81" s="2"/>
      <c r="P81" s="2"/>
      <c r="Q81" s="2"/>
      <c r="R81" s="2"/>
      <c r="S81" s="2"/>
      <c r="T81" s="2"/>
      <c r="U81" s="2"/>
      <c r="V81" s="2"/>
      <c r="W81" s="2"/>
      <c r="X81" s="2"/>
    </row>
    <row r="82" ht="15.75" customHeight="1">
      <c r="A82" s="2"/>
      <c r="B82" s="2"/>
      <c r="C82" s="2"/>
      <c r="D82" s="2"/>
      <c r="E82" s="2"/>
      <c r="F82" s="2"/>
      <c r="G82" s="2"/>
      <c r="H82" s="2"/>
      <c r="I82" s="2"/>
      <c r="J82" s="2"/>
      <c r="K82" s="2"/>
      <c r="L82" s="2"/>
      <c r="M82" s="2"/>
      <c r="N82" s="2"/>
      <c r="O82" s="2"/>
      <c r="P82" s="2"/>
      <c r="Q82" s="2"/>
      <c r="R82" s="2"/>
      <c r="S82" s="2"/>
      <c r="T82" s="2"/>
      <c r="U82" s="2"/>
      <c r="V82" s="2"/>
      <c r="W82" s="2"/>
      <c r="X82" s="2"/>
    </row>
    <row r="83" ht="15.75" customHeight="1">
      <c r="A83" s="2"/>
      <c r="B83" s="2"/>
      <c r="C83" s="2"/>
      <c r="D83" s="2"/>
      <c r="E83" s="2"/>
      <c r="F83" s="2"/>
      <c r="G83" s="2"/>
      <c r="H83" s="2"/>
      <c r="I83" s="2"/>
      <c r="J83" s="2"/>
      <c r="K83" s="2"/>
      <c r="L83" s="2"/>
      <c r="M83" s="2"/>
      <c r="N83" s="2"/>
      <c r="O83" s="2"/>
      <c r="P83" s="2"/>
      <c r="Q83" s="2"/>
      <c r="R83" s="2"/>
      <c r="S83" s="2"/>
      <c r="T83" s="2"/>
      <c r="U83" s="2"/>
      <c r="V83" s="2"/>
      <c r="W83" s="2"/>
      <c r="X83" s="2"/>
    </row>
    <row r="84" ht="15.75" customHeight="1">
      <c r="A84" s="2"/>
      <c r="B84" s="2"/>
      <c r="C84" s="2"/>
      <c r="D84" s="2"/>
      <c r="E84" s="2"/>
      <c r="F84" s="2"/>
      <c r="G84" s="2"/>
      <c r="H84" s="2"/>
      <c r="I84" s="2"/>
      <c r="J84" s="2"/>
      <c r="K84" s="2"/>
      <c r="L84" s="2"/>
      <c r="M84" s="2"/>
      <c r="N84" s="2"/>
      <c r="O84" s="2"/>
      <c r="P84" s="2"/>
      <c r="Q84" s="2"/>
      <c r="R84" s="2"/>
      <c r="S84" s="2"/>
      <c r="T84" s="2"/>
      <c r="U84" s="2"/>
      <c r="V84" s="2"/>
      <c r="W84" s="2"/>
      <c r="X84" s="2"/>
    </row>
    <row r="85" ht="15.75" customHeight="1">
      <c r="A85" s="2"/>
      <c r="B85" s="2"/>
      <c r="C85" s="2"/>
      <c r="D85" s="2"/>
      <c r="E85" s="2"/>
      <c r="F85" s="2"/>
      <c r="G85" s="2"/>
      <c r="H85" s="2"/>
      <c r="I85" s="2"/>
      <c r="J85" s="2"/>
      <c r="K85" s="2"/>
      <c r="L85" s="2"/>
      <c r="M85" s="2"/>
      <c r="N85" s="2"/>
      <c r="O85" s="2"/>
      <c r="P85" s="2"/>
      <c r="Q85" s="2"/>
      <c r="R85" s="2"/>
      <c r="S85" s="2"/>
      <c r="T85" s="2"/>
      <c r="U85" s="2"/>
      <c r="V85" s="2"/>
      <c r="W85" s="2"/>
      <c r="X85" s="2"/>
    </row>
    <row r="86" ht="15.75" customHeight="1">
      <c r="A86" s="2"/>
      <c r="B86" s="2"/>
      <c r="C86" s="2"/>
      <c r="D86" s="2"/>
      <c r="E86" s="2"/>
      <c r="F86" s="2"/>
      <c r="G86" s="2"/>
      <c r="H86" s="2"/>
      <c r="I86" s="2"/>
      <c r="J86" s="2"/>
      <c r="K86" s="2"/>
      <c r="L86" s="2"/>
      <c r="M86" s="2"/>
      <c r="N86" s="2"/>
      <c r="O86" s="2"/>
      <c r="P86" s="2"/>
      <c r="Q86" s="2"/>
      <c r="R86" s="2"/>
      <c r="S86" s="2"/>
      <c r="T86" s="2"/>
      <c r="U86" s="2"/>
      <c r="V86" s="2"/>
      <c r="W86" s="2"/>
      <c r="X86" s="2"/>
    </row>
    <row r="87" ht="15.75" customHeight="1">
      <c r="A87" s="2"/>
      <c r="B87" s="2"/>
      <c r="C87" s="2"/>
      <c r="D87" s="2"/>
      <c r="E87" s="2"/>
      <c r="F87" s="2"/>
      <c r="G87" s="2"/>
      <c r="H87" s="2"/>
      <c r="I87" s="2"/>
      <c r="J87" s="2"/>
      <c r="K87" s="2"/>
      <c r="L87" s="2"/>
      <c r="M87" s="2"/>
      <c r="N87" s="2"/>
      <c r="O87" s="2"/>
      <c r="P87" s="2"/>
      <c r="Q87" s="2"/>
      <c r="R87" s="2"/>
      <c r="S87" s="2"/>
      <c r="T87" s="2"/>
      <c r="U87" s="2"/>
      <c r="V87" s="2"/>
      <c r="W87" s="2"/>
      <c r="X87" s="2"/>
    </row>
    <row r="88" ht="15.75" customHeight="1">
      <c r="A88" s="2"/>
      <c r="B88" s="2"/>
      <c r="C88" s="2"/>
      <c r="D88" s="2"/>
      <c r="E88" s="2"/>
      <c r="F88" s="2"/>
      <c r="G88" s="2"/>
      <c r="H88" s="2"/>
      <c r="I88" s="2"/>
      <c r="J88" s="2"/>
      <c r="K88" s="2"/>
      <c r="L88" s="2"/>
      <c r="M88" s="2"/>
      <c r="N88" s="2"/>
      <c r="O88" s="2"/>
      <c r="P88" s="2"/>
      <c r="Q88" s="2"/>
      <c r="R88" s="2"/>
      <c r="S88" s="2"/>
      <c r="T88" s="2"/>
      <c r="U88" s="2"/>
      <c r="V88" s="2"/>
      <c r="W88" s="2"/>
      <c r="X88" s="2"/>
    </row>
    <row r="89" ht="15.75" customHeight="1">
      <c r="A89" s="2"/>
      <c r="B89" s="2"/>
      <c r="C89" s="2"/>
      <c r="D89" s="2"/>
      <c r="E89" s="2"/>
      <c r="F89" s="2"/>
      <c r="G89" s="2"/>
      <c r="H89" s="2"/>
      <c r="I89" s="2"/>
      <c r="J89" s="2"/>
      <c r="K89" s="2"/>
      <c r="L89" s="2"/>
      <c r="M89" s="2"/>
      <c r="N89" s="2"/>
      <c r="O89" s="2"/>
      <c r="P89" s="2"/>
      <c r="Q89" s="2"/>
      <c r="R89" s="2"/>
      <c r="S89" s="2"/>
      <c r="T89" s="2"/>
      <c r="U89" s="2"/>
      <c r="V89" s="2"/>
      <c r="W89" s="2"/>
      <c r="X89" s="2"/>
    </row>
    <row r="90" ht="15.75" customHeight="1">
      <c r="A90" s="2"/>
      <c r="B90" s="2"/>
      <c r="C90" s="2"/>
      <c r="D90" s="2"/>
      <c r="E90" s="2"/>
      <c r="F90" s="2"/>
      <c r="G90" s="2"/>
      <c r="H90" s="2"/>
      <c r="I90" s="2"/>
      <c r="J90" s="2"/>
      <c r="K90" s="2"/>
      <c r="L90" s="2"/>
      <c r="M90" s="2"/>
      <c r="N90" s="2"/>
      <c r="O90" s="2"/>
      <c r="P90" s="2"/>
      <c r="Q90" s="2"/>
      <c r="R90" s="2"/>
      <c r="S90" s="2"/>
      <c r="T90" s="2"/>
      <c r="U90" s="2"/>
      <c r="V90" s="2"/>
      <c r="W90" s="2"/>
      <c r="X90" s="2"/>
    </row>
    <row r="91" ht="15.75" customHeight="1">
      <c r="A91" s="2"/>
      <c r="B91" s="2"/>
      <c r="C91" s="2"/>
      <c r="D91" s="2"/>
      <c r="E91" s="2"/>
      <c r="F91" s="2"/>
      <c r="G91" s="2"/>
      <c r="H91" s="2"/>
      <c r="I91" s="2"/>
      <c r="J91" s="2"/>
      <c r="K91" s="2"/>
      <c r="L91" s="2"/>
      <c r="M91" s="2"/>
      <c r="N91" s="2"/>
      <c r="O91" s="2"/>
      <c r="P91" s="2"/>
      <c r="Q91" s="2"/>
      <c r="R91" s="2"/>
      <c r="S91" s="2"/>
      <c r="T91" s="2"/>
      <c r="U91" s="2"/>
      <c r="V91" s="2"/>
      <c r="W91" s="2"/>
      <c r="X91" s="2"/>
    </row>
    <row r="92" ht="15.75" customHeight="1">
      <c r="A92" s="2"/>
      <c r="B92" s="2"/>
      <c r="C92" s="2"/>
      <c r="D92" s="2"/>
      <c r="E92" s="2"/>
      <c r="F92" s="2"/>
      <c r="G92" s="2"/>
      <c r="H92" s="2"/>
      <c r="I92" s="2"/>
      <c r="J92" s="2"/>
      <c r="K92" s="2"/>
      <c r="L92" s="2"/>
      <c r="M92" s="2"/>
      <c r="N92" s="2"/>
      <c r="O92" s="2"/>
      <c r="P92" s="2"/>
      <c r="Q92" s="2"/>
      <c r="R92" s="2"/>
      <c r="S92" s="2"/>
      <c r="T92" s="2"/>
      <c r="U92" s="2"/>
      <c r="V92" s="2"/>
      <c r="W92" s="2"/>
      <c r="X92" s="2"/>
    </row>
    <row r="93" ht="15.75" customHeight="1">
      <c r="A93" s="2"/>
      <c r="B93" s="2"/>
      <c r="C93" s="2"/>
      <c r="D93" s="2"/>
      <c r="E93" s="2"/>
      <c r="F93" s="2"/>
      <c r="G93" s="2"/>
      <c r="H93" s="2"/>
      <c r="I93" s="2"/>
      <c r="J93" s="2"/>
      <c r="K93" s="2"/>
      <c r="L93" s="2"/>
      <c r="M93" s="2"/>
      <c r="N93" s="2"/>
      <c r="O93" s="2"/>
      <c r="P93" s="2"/>
      <c r="Q93" s="2"/>
      <c r="R93" s="2"/>
      <c r="S93" s="2"/>
      <c r="T93" s="2"/>
      <c r="U93" s="2"/>
      <c r="V93" s="2"/>
      <c r="W93" s="2"/>
      <c r="X93" s="2"/>
    </row>
    <row r="94" ht="15.75" customHeight="1">
      <c r="A94" s="2"/>
      <c r="B94" s="2"/>
      <c r="C94" s="2"/>
      <c r="D94" s="2"/>
      <c r="E94" s="2"/>
      <c r="F94" s="2"/>
      <c r="G94" s="2"/>
      <c r="H94" s="2"/>
      <c r="I94" s="2"/>
      <c r="J94" s="2"/>
      <c r="K94" s="2"/>
      <c r="L94" s="2"/>
      <c r="M94" s="2"/>
      <c r="N94" s="2"/>
      <c r="O94" s="2"/>
      <c r="P94" s="2"/>
      <c r="Q94" s="2"/>
      <c r="R94" s="2"/>
      <c r="S94" s="2"/>
      <c r="T94" s="2"/>
      <c r="U94" s="2"/>
      <c r="V94" s="2"/>
      <c r="W94" s="2"/>
      <c r="X94" s="2"/>
    </row>
    <row r="95" ht="15.75" customHeight="1">
      <c r="A95" s="2"/>
      <c r="B95" s="2"/>
      <c r="C95" s="2"/>
      <c r="D95" s="2"/>
      <c r="E95" s="2"/>
      <c r="F95" s="2"/>
      <c r="G95" s="2"/>
      <c r="H95" s="2"/>
      <c r="I95" s="2"/>
      <c r="J95" s="2"/>
      <c r="K95" s="2"/>
      <c r="L95" s="2"/>
      <c r="M95" s="2"/>
      <c r="N95" s="2"/>
      <c r="O95" s="2"/>
      <c r="P95" s="2"/>
      <c r="Q95" s="2"/>
      <c r="R95" s="2"/>
      <c r="S95" s="2"/>
      <c r="T95" s="2"/>
      <c r="U95" s="2"/>
      <c r="V95" s="2"/>
      <c r="W95" s="2"/>
      <c r="X95" s="2"/>
    </row>
    <row r="96" ht="15.75" customHeight="1">
      <c r="A96" s="2"/>
      <c r="B96" s="2"/>
      <c r="C96" s="2"/>
      <c r="D96" s="2"/>
      <c r="E96" s="2"/>
      <c r="F96" s="2"/>
      <c r="G96" s="2"/>
      <c r="H96" s="2"/>
      <c r="I96" s="2"/>
      <c r="J96" s="2"/>
      <c r="K96" s="2"/>
      <c r="L96" s="2"/>
      <c r="M96" s="2"/>
      <c r="N96" s="2"/>
      <c r="O96" s="2"/>
      <c r="P96" s="2"/>
      <c r="Q96" s="2"/>
      <c r="R96" s="2"/>
      <c r="S96" s="2"/>
      <c r="T96" s="2"/>
      <c r="U96" s="2"/>
      <c r="V96" s="2"/>
      <c r="W96" s="2"/>
      <c r="X96" s="2"/>
    </row>
    <row r="97" ht="15.75" customHeight="1">
      <c r="A97" s="2"/>
      <c r="B97" s="2"/>
      <c r="C97" s="2"/>
      <c r="D97" s="2"/>
      <c r="E97" s="2"/>
      <c r="F97" s="2"/>
      <c r="G97" s="2"/>
      <c r="H97" s="2"/>
      <c r="I97" s="2"/>
      <c r="J97" s="2"/>
      <c r="K97" s="2"/>
      <c r="L97" s="2"/>
      <c r="M97" s="2"/>
      <c r="N97" s="2"/>
      <c r="O97" s="2"/>
      <c r="P97" s="2"/>
      <c r="Q97" s="2"/>
      <c r="R97" s="2"/>
      <c r="S97" s="2"/>
      <c r="T97" s="2"/>
      <c r="U97" s="2"/>
      <c r="V97" s="2"/>
      <c r="W97" s="2"/>
      <c r="X97" s="2"/>
    </row>
    <row r="98" ht="15.75" customHeight="1">
      <c r="A98" s="2"/>
      <c r="B98" s="2"/>
      <c r="C98" s="2"/>
      <c r="D98" s="2"/>
      <c r="E98" s="2"/>
      <c r="F98" s="2"/>
      <c r="G98" s="2"/>
      <c r="H98" s="2"/>
      <c r="I98" s="2"/>
      <c r="J98" s="2"/>
      <c r="K98" s="2"/>
      <c r="L98" s="2"/>
      <c r="M98" s="2"/>
      <c r="N98" s="2"/>
      <c r="O98" s="2"/>
      <c r="P98" s="2"/>
      <c r="Q98" s="2"/>
      <c r="R98" s="2"/>
      <c r="S98" s="2"/>
      <c r="T98" s="2"/>
      <c r="U98" s="2"/>
      <c r="V98" s="2"/>
      <c r="W98" s="2"/>
      <c r="X98" s="2"/>
    </row>
    <row r="99" ht="15.75" customHeight="1">
      <c r="A99" s="2"/>
      <c r="B99" s="2"/>
      <c r="C99" s="2"/>
      <c r="D99" s="2"/>
      <c r="E99" s="2"/>
      <c r="F99" s="2"/>
      <c r="G99" s="2"/>
      <c r="H99" s="2"/>
      <c r="I99" s="2"/>
      <c r="J99" s="2"/>
      <c r="K99" s="2"/>
      <c r="L99" s="2"/>
      <c r="M99" s="2"/>
      <c r="N99" s="2"/>
      <c r="O99" s="2"/>
      <c r="P99" s="2"/>
      <c r="Q99" s="2"/>
      <c r="R99" s="2"/>
      <c r="S99" s="2"/>
      <c r="T99" s="2"/>
      <c r="U99" s="2"/>
      <c r="V99" s="2"/>
      <c r="W99" s="2"/>
      <c r="X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row>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4" width="10.71"/>
    <col customWidth="1" min="5" max="6" width="14.43"/>
  </cols>
  <sheetData>
    <row r="1">
      <c r="A1" s="1" t="s">
        <v>0</v>
      </c>
      <c r="B1" s="2" t="s">
        <v>205</v>
      </c>
      <c r="C1" s="2" t="s">
        <v>206</v>
      </c>
      <c r="D1" s="2" t="s">
        <v>207</v>
      </c>
    </row>
    <row r="2">
      <c r="A2" s="2" t="s">
        <v>6</v>
      </c>
      <c r="B2" s="3">
        <v>2.4</v>
      </c>
      <c r="C2" s="3">
        <v>6.0</v>
      </c>
      <c r="D2" s="2">
        <v>0.0</v>
      </c>
    </row>
    <row r="3">
      <c r="A3" s="2" t="s">
        <v>12</v>
      </c>
      <c r="B3" s="3">
        <v>0.0</v>
      </c>
      <c r="C3" s="3">
        <v>6.0</v>
      </c>
      <c r="D3" s="2">
        <v>0.0</v>
      </c>
    </row>
    <row r="4">
      <c r="A4" s="2" t="s">
        <v>115</v>
      </c>
      <c r="B4" s="3">
        <v>4.0</v>
      </c>
      <c r="C4" s="3">
        <v>0.0</v>
      </c>
      <c r="D4" s="2">
        <v>0.0</v>
      </c>
    </row>
    <row r="5">
      <c r="A5" s="2" t="s">
        <v>16</v>
      </c>
      <c r="B5" s="3">
        <v>4.3</v>
      </c>
      <c r="C5" s="3">
        <v>9.0</v>
      </c>
      <c r="D5" s="2">
        <v>0.0</v>
      </c>
    </row>
    <row r="6">
      <c r="A6" s="2" t="s">
        <v>20</v>
      </c>
      <c r="B6" s="3">
        <v>3.3</v>
      </c>
      <c r="C6" s="3">
        <v>12.0</v>
      </c>
      <c r="D6" s="2">
        <v>0.0</v>
      </c>
    </row>
    <row r="7">
      <c r="A7" s="2" t="s">
        <v>24</v>
      </c>
      <c r="B7" s="3">
        <v>7.1</v>
      </c>
      <c r="C7" s="3">
        <v>9.0</v>
      </c>
      <c r="D7" s="2">
        <v>0.0</v>
      </c>
    </row>
    <row r="8">
      <c r="A8" s="2" t="s">
        <v>27</v>
      </c>
      <c r="B8" s="3">
        <v>6.6</v>
      </c>
      <c r="C8" s="3">
        <v>12.0</v>
      </c>
      <c r="D8" s="2">
        <v>0.0</v>
      </c>
    </row>
    <row r="9">
      <c r="A9" s="2" t="s">
        <v>32</v>
      </c>
      <c r="B9" s="3">
        <v>5.6</v>
      </c>
      <c r="C9" s="3">
        <v>15.0</v>
      </c>
      <c r="D9" s="2">
        <v>0.0</v>
      </c>
    </row>
    <row r="10">
      <c r="A10" s="2" t="s">
        <v>36</v>
      </c>
      <c r="B10" s="3">
        <v>0.0</v>
      </c>
      <c r="C10" s="3">
        <v>21.0</v>
      </c>
      <c r="D10" s="2">
        <v>0.0</v>
      </c>
    </row>
    <row r="11">
      <c r="A11" s="2" t="s">
        <v>39</v>
      </c>
      <c r="B11" s="3">
        <v>2.0</v>
      </c>
      <c r="C11" s="3">
        <v>0.0</v>
      </c>
      <c r="D11" s="2">
        <v>0.0</v>
      </c>
    </row>
    <row r="12">
      <c r="A12" s="2" t="s">
        <v>43</v>
      </c>
      <c r="B12" s="3">
        <v>3.6</v>
      </c>
      <c r="C12" s="3">
        <v>3.0</v>
      </c>
      <c r="D12" s="2">
        <v>0.0</v>
      </c>
    </row>
    <row r="13">
      <c r="A13" s="2" t="s">
        <v>47</v>
      </c>
      <c r="B13" s="3">
        <v>-1.4</v>
      </c>
      <c r="C13" s="3">
        <v>9.0</v>
      </c>
      <c r="D13" s="2">
        <v>0.0</v>
      </c>
    </row>
    <row r="14">
      <c r="A14" s="2" t="s">
        <v>51</v>
      </c>
      <c r="B14" s="3">
        <v>1.9</v>
      </c>
      <c r="C14" s="3">
        <v>15.0</v>
      </c>
      <c r="D14" s="2">
        <v>0.0</v>
      </c>
    </row>
    <row r="15">
      <c r="A15" s="2" t="s">
        <v>54</v>
      </c>
      <c r="B15" s="3">
        <v>-3.3</v>
      </c>
      <c r="C15" s="3">
        <v>12.0</v>
      </c>
      <c r="D15" s="2">
        <v>0.0</v>
      </c>
    </row>
    <row r="16">
      <c r="A16" s="2" t="s">
        <v>122</v>
      </c>
      <c r="B16" s="3">
        <v>0.0</v>
      </c>
      <c r="C16" s="3">
        <v>12.0</v>
      </c>
      <c r="D16" s="2">
        <v>0.0</v>
      </c>
    </row>
    <row r="17">
      <c r="A17" s="2" t="s">
        <v>57</v>
      </c>
      <c r="B17" s="3">
        <v>-2.4</v>
      </c>
      <c r="C17" s="3">
        <v>6.0</v>
      </c>
      <c r="D17" s="2">
        <v>0.0</v>
      </c>
    </row>
    <row r="18">
      <c r="A18" s="2" t="s">
        <v>61</v>
      </c>
      <c r="B18" s="3">
        <v>0.0</v>
      </c>
      <c r="C18" s="3">
        <v>0.0</v>
      </c>
      <c r="D18" s="2">
        <v>0.0</v>
      </c>
    </row>
    <row r="19">
      <c r="A19" s="2" t="s">
        <v>64</v>
      </c>
      <c r="B19" s="3">
        <v>1.2</v>
      </c>
      <c r="C19" s="3">
        <v>3.0</v>
      </c>
      <c r="D19" s="2">
        <v>0.0</v>
      </c>
    </row>
    <row r="20">
      <c r="A20" s="2" t="s">
        <v>67</v>
      </c>
      <c r="B20" s="3">
        <v>1.4</v>
      </c>
      <c r="C20" s="3">
        <v>9.0</v>
      </c>
      <c r="D20" s="2">
        <v>0.0</v>
      </c>
    </row>
    <row r="21" ht="15.75" customHeight="1">
      <c r="A21" s="2" t="s">
        <v>71</v>
      </c>
      <c r="B21" s="3">
        <v>-6.6</v>
      </c>
      <c r="C21" s="3">
        <v>12.0</v>
      </c>
      <c r="D21" s="2">
        <v>0.0</v>
      </c>
    </row>
    <row r="22" ht="15.75" customHeight="1">
      <c r="A22" s="2" t="s">
        <v>74</v>
      </c>
      <c r="B22" s="3">
        <v>4.1</v>
      </c>
      <c r="C22" s="3">
        <v>18.0</v>
      </c>
      <c r="D22" s="2">
        <v>0.0</v>
      </c>
    </row>
    <row r="23" ht="15.75" customHeight="1">
      <c r="A23" s="2" t="s">
        <v>78</v>
      </c>
      <c r="B23" s="3">
        <v>-1.9</v>
      </c>
      <c r="C23" s="3">
        <v>15.0</v>
      </c>
      <c r="D23" s="2">
        <v>0.0</v>
      </c>
    </row>
    <row r="24" ht="15.75" customHeight="1">
      <c r="A24" s="2" t="s">
        <v>82</v>
      </c>
      <c r="B24" s="3">
        <v>0.0</v>
      </c>
      <c r="C24" s="3">
        <v>24.0</v>
      </c>
      <c r="D24" s="2">
        <v>0.0</v>
      </c>
    </row>
    <row r="25" ht="15.75" customHeight="1">
      <c r="A25" s="2" t="s">
        <v>86</v>
      </c>
      <c r="B25" s="3">
        <v>-4.0</v>
      </c>
      <c r="C25" s="3">
        <v>0.0</v>
      </c>
      <c r="D25" s="2">
        <v>0.0</v>
      </c>
    </row>
    <row r="26" ht="15.75" customHeight="1">
      <c r="A26" s="2" t="s">
        <v>90</v>
      </c>
      <c r="B26" s="3">
        <v>-3.6</v>
      </c>
      <c r="C26" s="3">
        <v>3.0</v>
      </c>
      <c r="D26" s="2">
        <v>0.0</v>
      </c>
    </row>
    <row r="27" ht="15.75" customHeight="1">
      <c r="A27" s="2" t="s">
        <v>94</v>
      </c>
      <c r="B27" s="3">
        <v>-2.0</v>
      </c>
      <c r="C27" s="3">
        <v>0.0</v>
      </c>
      <c r="D27" s="2">
        <v>0.0</v>
      </c>
    </row>
    <row r="28" ht="15.75" customHeight="1">
      <c r="A28" s="2" t="s">
        <v>98</v>
      </c>
      <c r="B28" s="3">
        <v>-7.1</v>
      </c>
      <c r="C28" s="3">
        <v>9.0</v>
      </c>
      <c r="D28" s="2">
        <v>0.0</v>
      </c>
    </row>
    <row r="29" ht="15.75" customHeight="1">
      <c r="A29" s="2" t="s">
        <v>102</v>
      </c>
      <c r="B29" s="3">
        <v>-1.2</v>
      </c>
      <c r="C29" s="3">
        <v>3.0</v>
      </c>
      <c r="D29" s="2">
        <v>0.0</v>
      </c>
    </row>
    <row r="30" ht="15.75" customHeight="1">
      <c r="A30" s="2" t="s">
        <v>106</v>
      </c>
      <c r="B30" s="3">
        <v>-4.3</v>
      </c>
      <c r="C30" s="3">
        <v>9.0</v>
      </c>
      <c r="D30" s="2">
        <v>0.0</v>
      </c>
    </row>
    <row r="31" ht="15.75" customHeight="1">
      <c r="A31" s="2" t="s">
        <v>119</v>
      </c>
      <c r="B31" s="3">
        <v>-5.6</v>
      </c>
      <c r="C31" s="3">
        <v>15.0</v>
      </c>
      <c r="D31" s="2">
        <v>0.0</v>
      </c>
    </row>
    <row r="32" ht="15.75" customHeight="1">
      <c r="A32" s="2" t="s">
        <v>109</v>
      </c>
      <c r="B32" s="3">
        <v>-4.1</v>
      </c>
      <c r="C32" s="3">
        <v>18.0</v>
      </c>
      <c r="D32" s="2">
        <v>0.0</v>
      </c>
    </row>
    <row r="33" ht="15.75" customHeight="1">
      <c r="A33" s="2" t="s">
        <v>112</v>
      </c>
      <c r="B33" s="3">
        <v>0.0</v>
      </c>
      <c r="C33" s="3">
        <v>18.0</v>
      </c>
      <c r="D33" s="2">
        <v>0.0</v>
      </c>
    </row>
    <row r="34" ht="15.75" customHeight="1">
      <c r="B34" s="10"/>
      <c r="C34" s="10"/>
    </row>
    <row r="35" ht="15.75" customHeight="1">
      <c r="B35" s="10"/>
      <c r="C35" s="10"/>
    </row>
    <row r="36" ht="15.75" customHeight="1">
      <c r="B36" s="10"/>
      <c r="C36" s="10"/>
    </row>
    <row r="37" ht="15.75" customHeight="1">
      <c r="B37" s="10"/>
      <c r="C37" s="10"/>
    </row>
    <row r="38" ht="15.75" customHeight="1">
      <c r="B38" s="10"/>
      <c r="C38" s="10"/>
    </row>
    <row r="39" ht="15.75" customHeight="1">
      <c r="B39" s="10"/>
      <c r="C39" s="10"/>
    </row>
    <row r="40" ht="15.75" customHeight="1">
      <c r="B40" s="10"/>
      <c r="C40" s="10"/>
    </row>
    <row r="41" ht="15.75" customHeight="1">
      <c r="B41" s="10"/>
      <c r="C41" s="10"/>
    </row>
    <row r="42" ht="15.75" customHeight="1">
      <c r="B42" s="10"/>
      <c r="C42" s="10"/>
    </row>
    <row r="43" ht="15.75" customHeight="1">
      <c r="B43" s="10"/>
      <c r="C43" s="10"/>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3.86"/>
    <col customWidth="1" min="3" max="3" width="15.0"/>
    <col customWidth="1" min="4" max="7" width="10.71"/>
    <col customWidth="1" min="8" max="8" width="16.86"/>
    <col customWidth="1" min="9" max="9" width="21.0"/>
  </cols>
  <sheetData>
    <row r="1">
      <c r="A1" s="2" t="s">
        <v>125</v>
      </c>
      <c r="B1" s="2" t="s">
        <v>0</v>
      </c>
      <c r="C1" s="11" t="s">
        <v>164</v>
      </c>
      <c r="D1" s="10" t="s">
        <v>208</v>
      </c>
      <c r="E1" s="10" t="s">
        <v>209</v>
      </c>
      <c r="F1" s="10" t="s">
        <v>210</v>
      </c>
      <c r="G1" s="10" t="s">
        <v>211</v>
      </c>
      <c r="H1" s="10" t="s">
        <v>212</v>
      </c>
      <c r="I1" s="10" t="s">
        <v>213</v>
      </c>
    </row>
    <row r="2">
      <c r="A2" s="2">
        <f>course_requisites!A:A</f>
        <v>1</v>
      </c>
      <c r="B2" s="2" t="str">
        <f>course_requisites!B:B</f>
        <v>S200</v>
      </c>
      <c r="C2" s="11" t="str">
        <f>course_requisites!C:C</f>
        <v>M100</v>
      </c>
      <c r="D2" s="10">
        <f>VLOOKUP(B2,courses_program1!A:C,2,0)</f>
        <v>2.4</v>
      </c>
      <c r="E2" s="10">
        <f>VLOOKUP(B2,courses_program1!A:C,3,0)</f>
        <v>6</v>
      </c>
      <c r="F2" s="10">
        <f>VLOOKUP(C2,courses_program1!A:C,2,0)</f>
        <v>2</v>
      </c>
      <c r="G2" s="10">
        <f>VLOOKUP(C2,courses_program1!A:C,3,0)</f>
        <v>0</v>
      </c>
      <c r="H2" s="2">
        <f>course_requisites!D:D</f>
        <v>1</v>
      </c>
      <c r="I2" s="2" t="str">
        <f t="shared" ref="I2:I79" si="1">CONCAT(B2, C2)</f>
        <v>S200M100</v>
      </c>
    </row>
    <row r="3">
      <c r="A3" s="2">
        <f>course_requisites!A:A</f>
        <v>2</v>
      </c>
      <c r="B3" s="2" t="str">
        <f>course_requisites!B:B</f>
        <v>S201</v>
      </c>
      <c r="C3" s="11" t="str">
        <f>course_requisites!C:C</f>
        <v>D100</v>
      </c>
      <c r="D3" s="10">
        <f>VLOOKUP(B3,courses_program1!A:C,2,0)</f>
        <v>0</v>
      </c>
      <c r="E3" s="10">
        <f>VLOOKUP(B3,courses_program1!A:C,3,0)</f>
        <v>6</v>
      </c>
      <c r="F3" s="10">
        <f>VLOOKUP(C3,courses_program1!A:C,2,0)</f>
        <v>0</v>
      </c>
      <c r="G3" s="10">
        <f>VLOOKUP(C3,courses_program1!A:C,3,0)</f>
        <v>0</v>
      </c>
      <c r="H3" s="2">
        <f>course_requisites!D:D</f>
        <v>1</v>
      </c>
      <c r="I3" s="2" t="str">
        <f t="shared" si="1"/>
        <v>S201D100</v>
      </c>
    </row>
    <row r="4">
      <c r="A4" s="2">
        <f>course_requisites!A:A</f>
        <v>3</v>
      </c>
      <c r="B4" s="2" t="str">
        <f>course_requisites!B:B</f>
        <v>S251</v>
      </c>
      <c r="C4" s="11" t="str">
        <f>course_requisites!C:C</f>
        <v>M101</v>
      </c>
      <c r="D4" s="10">
        <f>VLOOKUP(B4,courses_program1!A:C,2,0)</f>
        <v>4.3</v>
      </c>
      <c r="E4" s="10">
        <f>VLOOKUP(B4,courses_program1!A:C,3,0)</f>
        <v>9</v>
      </c>
      <c r="F4" s="10">
        <f>VLOOKUP(C4,courses_program1!A:C,2,0)</f>
        <v>3.6</v>
      </c>
      <c r="G4" s="10">
        <f>VLOOKUP(C4,courses_program1!A:C,3,0)</f>
        <v>3</v>
      </c>
      <c r="H4" s="2">
        <f>course_requisites!D:D</f>
        <v>1</v>
      </c>
      <c r="I4" s="2" t="str">
        <f t="shared" si="1"/>
        <v>S251M101</v>
      </c>
    </row>
    <row r="5">
      <c r="A5" s="2">
        <f>course_requisites!A:A</f>
        <v>4</v>
      </c>
      <c r="B5" s="2" t="str">
        <f>course_requisites!B:B</f>
        <v>S300</v>
      </c>
      <c r="C5" s="11" t="str">
        <f>course_requisites!C:C</f>
        <v>S200</v>
      </c>
      <c r="D5" s="10">
        <f>VLOOKUP(B5,courses_program1!A:C,2,0)</f>
        <v>3.3</v>
      </c>
      <c r="E5" s="10">
        <f>VLOOKUP(B5,courses_program1!A:C,3,0)</f>
        <v>12</v>
      </c>
      <c r="F5" s="10">
        <f>VLOOKUP(C5,courses_program1!A:C,2,0)</f>
        <v>2.4</v>
      </c>
      <c r="G5" s="10">
        <f>VLOOKUP(C5,courses_program1!A:C,3,0)</f>
        <v>6</v>
      </c>
      <c r="H5" s="2">
        <f>course_requisites!D:D</f>
        <v>1</v>
      </c>
      <c r="I5" s="2" t="str">
        <f t="shared" si="1"/>
        <v>S300S200</v>
      </c>
    </row>
    <row r="6">
      <c r="A6" s="2">
        <f>course_requisites!A:A</f>
        <v>4</v>
      </c>
      <c r="B6" s="2" t="str">
        <f>course_requisites!B:B</f>
        <v>S300</v>
      </c>
      <c r="C6" s="11" t="str">
        <f>course_requisites!C:C</f>
        <v>S203</v>
      </c>
      <c r="D6" s="10">
        <f>VLOOKUP(B6,courses_program1!A:C,2,0)</f>
        <v>3.3</v>
      </c>
      <c r="E6" s="10">
        <f>VLOOKUP(B6,courses_program1!A:C,3,0)</f>
        <v>12</v>
      </c>
      <c r="F6" s="10">
        <f>VLOOKUP(C6,courses_program1!A:C,2,0)</f>
        <v>4</v>
      </c>
      <c r="G6" s="10">
        <f>VLOOKUP(C6,courses_program1!A:C,3,0)</f>
        <v>0</v>
      </c>
      <c r="H6" s="2">
        <f>course_requisites!D:D</f>
        <v>0</v>
      </c>
      <c r="I6" s="2" t="str">
        <f t="shared" si="1"/>
        <v>S300S203</v>
      </c>
    </row>
    <row r="7">
      <c r="A7" s="2">
        <f>course_requisites!A:A</f>
        <v>4</v>
      </c>
      <c r="B7" s="2" t="str">
        <f>course_requisites!B:B</f>
        <v>S300</v>
      </c>
      <c r="C7" s="11" t="str">
        <f>course_requisites!C:C</f>
        <v>S251</v>
      </c>
      <c r="D7" s="10">
        <f>VLOOKUP(B7,courses_program1!A:C,2,0)</f>
        <v>3.3</v>
      </c>
      <c r="E7" s="10">
        <f>VLOOKUP(B7,courses_program1!A:C,3,0)</f>
        <v>12</v>
      </c>
      <c r="F7" s="10">
        <f>VLOOKUP(C7,courses_program1!A:C,2,0)</f>
        <v>4.3</v>
      </c>
      <c r="G7" s="10">
        <f>VLOOKUP(C7,courses_program1!A:C,3,0)</f>
        <v>9</v>
      </c>
      <c r="H7" s="2">
        <f>course_requisites!D:D</f>
        <v>0</v>
      </c>
      <c r="I7" s="2" t="str">
        <f t="shared" si="1"/>
        <v>S300S251</v>
      </c>
    </row>
    <row r="8">
      <c r="A8" s="2">
        <f>course_requisites!A:A</f>
        <v>5</v>
      </c>
      <c r="B8" s="2" t="str">
        <f>course_requisites!B:B</f>
        <v>S301</v>
      </c>
      <c r="C8" s="11" t="str">
        <f>course_requisites!C:C</f>
        <v>S201</v>
      </c>
      <c r="D8" s="10">
        <f>VLOOKUP(B8,courses_program1!A:C,2,0)</f>
        <v>7.1</v>
      </c>
      <c r="E8" s="10">
        <f>VLOOKUP(B8,courses_program1!A:C,3,0)</f>
        <v>9</v>
      </c>
      <c r="F8" s="10">
        <f>VLOOKUP(C8,courses_program1!A:C,2,0)</f>
        <v>0</v>
      </c>
      <c r="G8" s="10">
        <f>VLOOKUP(C8,courses_program1!A:C,3,0)</f>
        <v>6</v>
      </c>
      <c r="H8" s="2">
        <f>course_requisites!D:D</f>
        <v>1</v>
      </c>
      <c r="I8" s="2" t="str">
        <f t="shared" si="1"/>
        <v>S301S201</v>
      </c>
    </row>
    <row r="9">
      <c r="A9" s="2">
        <f>course_requisites!A:A</f>
        <v>6</v>
      </c>
      <c r="B9" s="2" t="str">
        <f>course_requisites!B:B</f>
        <v>S301</v>
      </c>
      <c r="C9" s="11" t="str">
        <f>course_requisites!C:C</f>
        <v>M100</v>
      </c>
      <c r="D9" s="10">
        <f>VLOOKUP(B9,courses_program1!A:C,2,0)</f>
        <v>7.1</v>
      </c>
      <c r="E9" s="10">
        <f>VLOOKUP(B9,courses_program1!A:C,3,0)</f>
        <v>9</v>
      </c>
      <c r="F9" s="10">
        <f>VLOOKUP(C9,courses_program1!A:C,2,0)</f>
        <v>2</v>
      </c>
      <c r="G9" s="10">
        <f>VLOOKUP(C9,courses_program1!A:C,3,0)</f>
        <v>0</v>
      </c>
      <c r="H9" s="2">
        <f>course_requisites!D:D</f>
        <v>1</v>
      </c>
      <c r="I9" s="2" t="str">
        <f t="shared" si="1"/>
        <v>S301M100</v>
      </c>
    </row>
    <row r="10">
      <c r="A10" s="2">
        <f>course_requisites!A:A</f>
        <v>7</v>
      </c>
      <c r="B10" s="2" t="str">
        <f>course_requisites!B:B</f>
        <v>S302</v>
      </c>
      <c r="C10" s="11" t="str">
        <f>course_requisites!C:C</f>
        <v>M200</v>
      </c>
      <c r="D10" s="10">
        <f>VLOOKUP(B10,courses_program1!A:C,2,0)</f>
        <v>6.6</v>
      </c>
      <c r="E10" s="10">
        <f>VLOOKUP(B10,courses_program1!A:C,3,0)</f>
        <v>12</v>
      </c>
      <c r="F10" s="10">
        <f>VLOOKUP(C10,courses_program1!A:C,2,0)</f>
        <v>-1.4</v>
      </c>
      <c r="G10" s="10">
        <f>VLOOKUP(C10,courses_program1!A:C,3,0)</f>
        <v>9</v>
      </c>
      <c r="H10" s="2">
        <f>course_requisites!D:D</f>
        <v>1</v>
      </c>
      <c r="I10" s="2" t="str">
        <f t="shared" si="1"/>
        <v>S302M200</v>
      </c>
    </row>
    <row r="11">
      <c r="A11" s="2">
        <f>course_requisites!A:A</f>
        <v>8</v>
      </c>
      <c r="B11" s="2" t="str">
        <f>course_requisites!B:B</f>
        <v>S306</v>
      </c>
      <c r="C11" s="11" t="str">
        <f>course_requisites!C:C</f>
        <v>M221</v>
      </c>
      <c r="D11" s="10">
        <f>VLOOKUP(B11,courses_program1!A:C,2,0)</f>
        <v>5.6</v>
      </c>
      <c r="E11" s="10">
        <f>VLOOKUP(B11,courses_program1!A:C,3,0)</f>
        <v>15</v>
      </c>
      <c r="F11" s="10">
        <f>VLOOKUP(C11,courses_program1!A:C,2,0)</f>
        <v>-2.4</v>
      </c>
      <c r="G11" s="10">
        <f>VLOOKUP(C11,courses_program1!A:C,3,0)</f>
        <v>6</v>
      </c>
      <c r="H11" s="2">
        <f>course_requisites!D:D</f>
        <v>1</v>
      </c>
      <c r="I11" s="2" t="str">
        <f t="shared" si="1"/>
        <v>S306M221</v>
      </c>
    </row>
    <row r="12">
      <c r="A12" s="2">
        <f>course_requisites!A:A</f>
        <v>9</v>
      </c>
      <c r="B12" s="2" t="str">
        <f>course_requisites!B:B</f>
        <v>S306</v>
      </c>
      <c r="C12" s="11" t="str">
        <f>course_requisites!C:C</f>
        <v>S200</v>
      </c>
      <c r="D12" s="10">
        <f>VLOOKUP(B12,courses_program1!A:C,2,0)</f>
        <v>5.6</v>
      </c>
      <c r="E12" s="10">
        <f>VLOOKUP(B12,courses_program1!A:C,3,0)</f>
        <v>15</v>
      </c>
      <c r="F12" s="10">
        <f>VLOOKUP(C12,courses_program1!A:C,2,0)</f>
        <v>2.4</v>
      </c>
      <c r="G12" s="10">
        <f>VLOOKUP(C12,courses_program1!A:C,3,0)</f>
        <v>6</v>
      </c>
      <c r="H12" s="2">
        <f>course_requisites!D:D</f>
        <v>1</v>
      </c>
      <c r="I12" s="2" t="str">
        <f t="shared" si="1"/>
        <v>S306S200</v>
      </c>
    </row>
    <row r="13">
      <c r="A13" s="2">
        <f>course_requisites!A:A</f>
        <v>9</v>
      </c>
      <c r="B13" s="2" t="str">
        <f>course_requisites!B:B</f>
        <v>S306</v>
      </c>
      <c r="C13" s="11" t="str">
        <f>course_requisites!C:C</f>
        <v>S251</v>
      </c>
      <c r="D13" s="10">
        <f>VLOOKUP(B13,courses_program1!A:C,2,0)</f>
        <v>5.6</v>
      </c>
      <c r="E13" s="10">
        <f>VLOOKUP(B13,courses_program1!A:C,3,0)</f>
        <v>15</v>
      </c>
      <c r="F13" s="10">
        <f>VLOOKUP(C13,courses_program1!A:C,2,0)</f>
        <v>4.3</v>
      </c>
      <c r="G13" s="10">
        <f>VLOOKUP(C13,courses_program1!A:C,3,0)</f>
        <v>9</v>
      </c>
      <c r="H13" s="2">
        <f>course_requisites!D:D</f>
        <v>0</v>
      </c>
      <c r="I13" s="2" t="str">
        <f t="shared" si="1"/>
        <v>S306S251</v>
      </c>
    </row>
    <row r="14">
      <c r="A14" s="2">
        <f>course_requisites!A:A</f>
        <v>9</v>
      </c>
      <c r="B14" s="2" t="str">
        <f>course_requisites!B:B</f>
        <v>S306</v>
      </c>
      <c r="C14" s="11" t="str">
        <f>course_requisites!C:C</f>
        <v>S300</v>
      </c>
      <c r="D14" s="10">
        <f>VLOOKUP(B14,courses_program1!A:C,2,0)</f>
        <v>5.6</v>
      </c>
      <c r="E14" s="10">
        <f>VLOOKUP(B14,courses_program1!A:C,3,0)</f>
        <v>15</v>
      </c>
      <c r="F14" s="10">
        <f>VLOOKUP(C14,courses_program1!A:C,2,0)</f>
        <v>3.3</v>
      </c>
      <c r="G14" s="10">
        <f>VLOOKUP(C14,courses_program1!A:C,3,0)</f>
        <v>12</v>
      </c>
      <c r="H14" s="2">
        <f>course_requisites!D:D</f>
        <v>0</v>
      </c>
      <c r="I14" s="2" t="str">
        <f t="shared" si="1"/>
        <v>S306S300</v>
      </c>
    </row>
    <row r="15">
      <c r="A15" s="2">
        <f>course_requisites!A:A</f>
        <v>10</v>
      </c>
      <c r="B15" s="2" t="str">
        <f>course_requisites!B:B</f>
        <v>S306</v>
      </c>
      <c r="C15" s="11" t="str">
        <f>course_requisites!C:C</f>
        <v>S302</v>
      </c>
      <c r="D15" s="10">
        <f>VLOOKUP(B15,courses_program1!A:C,2,0)</f>
        <v>5.6</v>
      </c>
      <c r="E15" s="10">
        <f>VLOOKUP(B15,courses_program1!A:C,3,0)</f>
        <v>15</v>
      </c>
      <c r="F15" s="10">
        <f>VLOOKUP(C15,courses_program1!A:C,2,0)</f>
        <v>6.6</v>
      </c>
      <c r="G15" s="10">
        <f>VLOOKUP(C15,courses_program1!A:C,3,0)</f>
        <v>12</v>
      </c>
      <c r="H15" s="2">
        <f>course_requisites!D:D</f>
        <v>1</v>
      </c>
      <c r="I15" s="2" t="str">
        <f t="shared" si="1"/>
        <v>S306S302</v>
      </c>
    </row>
    <row r="16">
      <c r="A16" s="2">
        <f>course_requisites!A:A</f>
        <v>11</v>
      </c>
      <c r="B16" s="2" t="str">
        <f>course_requisites!B:B</f>
        <v>S406</v>
      </c>
      <c r="C16" s="11" t="str">
        <f>course_requisites!C:C</f>
        <v>S306</v>
      </c>
      <c r="D16" s="10">
        <f>VLOOKUP(B16,courses_program1!A:C,2,0)</f>
        <v>0</v>
      </c>
      <c r="E16" s="10">
        <f>VLOOKUP(B16,courses_program1!A:C,3,0)</f>
        <v>21</v>
      </c>
      <c r="F16" s="10">
        <f>VLOOKUP(C16,courses_program1!A:C,2,0)</f>
        <v>5.6</v>
      </c>
      <c r="G16" s="10">
        <f>VLOOKUP(C16,courses_program1!A:C,3,0)</f>
        <v>15</v>
      </c>
      <c r="H16" s="2">
        <f>course_requisites!D:D</f>
        <v>1</v>
      </c>
      <c r="I16" s="2" t="str">
        <f t="shared" si="1"/>
        <v>S406S306</v>
      </c>
    </row>
    <row r="17">
      <c r="A17" s="2">
        <f>course_requisites!A:A</f>
        <v>11</v>
      </c>
      <c r="B17" s="2" t="str">
        <f>course_requisites!B:B</f>
        <v>S406</v>
      </c>
      <c r="C17" s="11" t="str">
        <f>course_requisites!C:C</f>
        <v>C340</v>
      </c>
      <c r="D17" s="10">
        <f>VLOOKUP(B17,courses_program1!A:C,2,0)</f>
        <v>0</v>
      </c>
      <c r="E17" s="10">
        <f>VLOOKUP(B17,courses_program1!A:C,3,0)</f>
        <v>21</v>
      </c>
      <c r="F17" s="10">
        <f>VLOOKUP(C17,courses_program1!A:C,2,0)</f>
        <v>0</v>
      </c>
      <c r="G17" s="10">
        <f>VLOOKUP(C17,courses_program1!A:C,3,0)</f>
        <v>18</v>
      </c>
      <c r="H17" s="2">
        <f>course_requisites!D:D</f>
        <v>0</v>
      </c>
      <c r="I17" s="2" t="str">
        <f t="shared" si="1"/>
        <v>S406C340</v>
      </c>
    </row>
    <row r="18">
      <c r="A18" s="2">
        <f>course_requisites!A:A</f>
        <v>11</v>
      </c>
      <c r="B18" s="2" t="str">
        <f>course_requisites!B:B</f>
        <v>S406</v>
      </c>
      <c r="C18" s="11" t="str">
        <f>course_requisites!C:C</f>
        <v>S301</v>
      </c>
      <c r="D18" s="10">
        <f>VLOOKUP(B18,courses_program1!A:C,2,0)</f>
        <v>0</v>
      </c>
      <c r="E18" s="10">
        <f>VLOOKUP(B18,courses_program1!A:C,3,0)</f>
        <v>21</v>
      </c>
      <c r="F18" s="10">
        <f>VLOOKUP(C18,courses_program1!A:C,2,0)</f>
        <v>7.1</v>
      </c>
      <c r="G18" s="10">
        <f>VLOOKUP(C18,courses_program1!A:C,3,0)</f>
        <v>9</v>
      </c>
      <c r="H18" s="2">
        <f>course_requisites!D:D</f>
        <v>0</v>
      </c>
      <c r="I18" s="2" t="str">
        <f t="shared" si="1"/>
        <v>S406S301</v>
      </c>
    </row>
    <row r="19">
      <c r="A19" s="2">
        <f>course_requisites!A:A</f>
        <v>11</v>
      </c>
      <c r="B19" s="2" t="str">
        <f>course_requisites!B:B</f>
        <v>S406</v>
      </c>
      <c r="C19" s="11" t="str">
        <f>course_requisites!C:C</f>
        <v>M221</v>
      </c>
      <c r="D19" s="10">
        <f>VLOOKUP(B19,courses_program1!A:C,2,0)</f>
        <v>0</v>
      </c>
      <c r="E19" s="10">
        <f>VLOOKUP(B19,courses_program1!A:C,3,0)</f>
        <v>21</v>
      </c>
      <c r="F19" s="10">
        <f>VLOOKUP(C19,courses_program1!A:C,2,0)</f>
        <v>-2.4</v>
      </c>
      <c r="G19" s="10">
        <f>VLOOKUP(C19,courses_program1!A:C,3,0)</f>
        <v>6</v>
      </c>
      <c r="H19" s="2">
        <f>course_requisites!D:D</f>
        <v>0</v>
      </c>
      <c r="I19" s="2" t="str">
        <f t="shared" si="1"/>
        <v>S406M221</v>
      </c>
    </row>
    <row r="20">
      <c r="A20" s="2">
        <f>course_requisites!A:A</f>
        <v>11</v>
      </c>
      <c r="B20" s="2" t="str">
        <f>course_requisites!B:B</f>
        <v>S406</v>
      </c>
      <c r="C20" s="11" t="str">
        <f>course_requisites!C:C</f>
        <v>S302</v>
      </c>
      <c r="D20" s="10">
        <f>VLOOKUP(B20,courses_program1!A:C,2,0)</f>
        <v>0</v>
      </c>
      <c r="E20" s="10">
        <f>VLOOKUP(B20,courses_program1!A:C,3,0)</f>
        <v>21</v>
      </c>
      <c r="F20" s="10">
        <f>VLOOKUP(C20,courses_program1!A:C,2,0)</f>
        <v>6.6</v>
      </c>
      <c r="G20" s="10">
        <f>VLOOKUP(C20,courses_program1!A:C,3,0)</f>
        <v>12</v>
      </c>
      <c r="H20" s="2">
        <f>course_requisites!D:D</f>
        <v>0</v>
      </c>
      <c r="I20" s="2" t="str">
        <f t="shared" si="1"/>
        <v>S406S302</v>
      </c>
    </row>
    <row r="21" ht="15.75" customHeight="1">
      <c r="A21" s="2">
        <f>course_requisites!A:A</f>
        <v>13</v>
      </c>
      <c r="B21" s="2" t="str">
        <f>course_requisites!B:B</f>
        <v>M101</v>
      </c>
      <c r="C21" s="11" t="str">
        <f>course_requisites!C:C</f>
        <v>M100</v>
      </c>
      <c r="D21" s="10">
        <f>VLOOKUP(B21,courses_program1!A:C,2,0)</f>
        <v>3.6</v>
      </c>
      <c r="E21" s="10">
        <f>VLOOKUP(B21,courses_program1!A:C,3,0)</f>
        <v>3</v>
      </c>
      <c r="F21" s="10">
        <f>VLOOKUP(C21,courses_program1!A:C,2,0)</f>
        <v>2</v>
      </c>
      <c r="G21" s="10">
        <f>VLOOKUP(C21,courses_program1!A:C,3,0)</f>
        <v>0</v>
      </c>
      <c r="H21" s="2">
        <f>course_requisites!D:D</f>
        <v>1</v>
      </c>
      <c r="I21" s="2" t="str">
        <f t="shared" si="1"/>
        <v>M101M100</v>
      </c>
    </row>
    <row r="22" ht="15.75" customHeight="1">
      <c r="A22" s="2">
        <f>course_requisites!A:A</f>
        <v>14</v>
      </c>
      <c r="B22" s="2" t="str">
        <f>course_requisites!B:B</f>
        <v>M200</v>
      </c>
      <c r="C22" s="11" t="str">
        <f>course_requisites!C:C</f>
        <v>M101</v>
      </c>
      <c r="D22" s="10">
        <f>VLOOKUP(B22,courses_program1!A:C,2,0)</f>
        <v>-1.4</v>
      </c>
      <c r="E22" s="10">
        <f>VLOOKUP(B22,courses_program1!A:C,3,0)</f>
        <v>9</v>
      </c>
      <c r="F22" s="10">
        <f>VLOOKUP(C22,courses_program1!A:C,2,0)</f>
        <v>3.6</v>
      </c>
      <c r="G22" s="10">
        <f>VLOOKUP(C22,courses_program1!A:C,3,0)</f>
        <v>3</v>
      </c>
      <c r="H22" s="2">
        <f>course_requisites!D:D</f>
        <v>1</v>
      </c>
      <c r="I22" s="2" t="str">
        <f t="shared" si="1"/>
        <v>M200M101</v>
      </c>
    </row>
    <row r="23" ht="15.75" customHeight="1">
      <c r="A23" s="2">
        <f>course_requisites!A:A</f>
        <v>15</v>
      </c>
      <c r="B23" s="2" t="str">
        <f>course_requisites!B:B</f>
        <v>M210</v>
      </c>
      <c r="C23" s="11" t="str">
        <f>course_requisites!C:C</f>
        <v>M101</v>
      </c>
      <c r="D23" s="10">
        <f>VLOOKUP(B23,courses_program1!A:C,2,0)</f>
        <v>1.9</v>
      </c>
      <c r="E23" s="10">
        <f>VLOOKUP(B23,courses_program1!A:C,3,0)</f>
        <v>15</v>
      </c>
      <c r="F23" s="10">
        <f>VLOOKUP(C23,courses_program1!A:C,2,0)</f>
        <v>3.6</v>
      </c>
      <c r="G23" s="10">
        <f>VLOOKUP(C23,courses_program1!A:C,3,0)</f>
        <v>3</v>
      </c>
      <c r="H23" s="2">
        <f>course_requisites!D:D</f>
        <v>1</v>
      </c>
      <c r="I23" s="2" t="str">
        <f t="shared" si="1"/>
        <v>M210M101</v>
      </c>
    </row>
    <row r="24" ht="15.75" customHeight="1">
      <c r="A24" s="2">
        <f>course_requisites!A:A</f>
        <v>16</v>
      </c>
      <c r="B24" s="2" t="str">
        <f>course_requisites!B:B</f>
        <v>M210</v>
      </c>
      <c r="C24" s="11" t="str">
        <f>course_requisites!C:C</f>
        <v>M215</v>
      </c>
      <c r="D24" s="10">
        <f>VLOOKUP(B24,courses_program1!A:C,2,0)</f>
        <v>1.9</v>
      </c>
      <c r="E24" s="10">
        <f>VLOOKUP(B24,courses_program1!A:C,3,0)</f>
        <v>15</v>
      </c>
      <c r="F24" s="10">
        <f>VLOOKUP(C24,courses_program1!A:C,2,0)</f>
        <v>-3.3</v>
      </c>
      <c r="G24" s="10">
        <f>VLOOKUP(C24,courses_program1!A:C,3,0)</f>
        <v>12</v>
      </c>
      <c r="H24" s="2">
        <f>course_requisites!D:D</f>
        <v>1</v>
      </c>
      <c r="I24" s="2" t="str">
        <f t="shared" si="1"/>
        <v>M210M215</v>
      </c>
    </row>
    <row r="25" ht="15.75" customHeight="1">
      <c r="A25" s="2">
        <f>course_requisites!A:A</f>
        <v>17</v>
      </c>
      <c r="B25" s="2" t="str">
        <f>course_requisites!B:B</f>
        <v>M210</v>
      </c>
      <c r="C25" s="11" t="str">
        <f>course_requisites!C:C</f>
        <v>M221</v>
      </c>
      <c r="D25" s="10">
        <f>VLOOKUP(B25,courses_program1!A:C,2,0)</f>
        <v>1.9</v>
      </c>
      <c r="E25" s="10">
        <f>VLOOKUP(B25,courses_program1!A:C,3,0)</f>
        <v>15</v>
      </c>
      <c r="F25" s="10">
        <f>VLOOKUP(C25,courses_program1!A:C,2,0)</f>
        <v>-2.4</v>
      </c>
      <c r="G25" s="10">
        <f>VLOOKUP(C25,courses_program1!A:C,3,0)</f>
        <v>6</v>
      </c>
      <c r="H25" s="2">
        <f>course_requisites!D:D</f>
        <v>1</v>
      </c>
      <c r="I25" s="2" t="str">
        <f t="shared" si="1"/>
        <v>M210M221</v>
      </c>
    </row>
    <row r="26" ht="15.75" customHeight="1">
      <c r="A26" s="2">
        <f>course_requisites!A:A</f>
        <v>18</v>
      </c>
      <c r="B26" s="2" t="str">
        <f>course_requisites!B:B</f>
        <v>M215</v>
      </c>
      <c r="C26" s="11" t="str">
        <f>course_requisites!C:C</f>
        <v>M101</v>
      </c>
      <c r="D26" s="10">
        <f>VLOOKUP(B26,courses_program1!A:C,2,0)</f>
        <v>-3.3</v>
      </c>
      <c r="E26" s="10">
        <f>VLOOKUP(B26,courses_program1!A:C,3,0)</f>
        <v>12</v>
      </c>
      <c r="F26" s="10">
        <f>VLOOKUP(C26,courses_program1!A:C,2,0)</f>
        <v>3.6</v>
      </c>
      <c r="G26" s="10">
        <f>VLOOKUP(C26,courses_program1!A:C,3,0)</f>
        <v>3</v>
      </c>
      <c r="H26" s="2">
        <f>course_requisites!D:D</f>
        <v>1</v>
      </c>
      <c r="I26" s="2" t="str">
        <f t="shared" si="1"/>
        <v>M215M101</v>
      </c>
    </row>
    <row r="27" ht="15.75" customHeight="1">
      <c r="A27" s="2">
        <f>course_requisites!A:A</f>
        <v>19</v>
      </c>
      <c r="B27" s="2" t="str">
        <f>course_requisites!B:B</f>
        <v>M215</v>
      </c>
      <c r="C27" s="11" t="str">
        <f>course_requisites!C:C</f>
        <v>M221</v>
      </c>
      <c r="D27" s="10">
        <f>VLOOKUP(B27,courses_program1!A:C,2,0)</f>
        <v>-3.3</v>
      </c>
      <c r="E27" s="10">
        <f>VLOOKUP(B27,courses_program1!A:C,3,0)</f>
        <v>12</v>
      </c>
      <c r="F27" s="10">
        <f>VLOOKUP(C27,courses_program1!A:C,2,0)</f>
        <v>-2.4</v>
      </c>
      <c r="G27" s="10">
        <f>VLOOKUP(C27,courses_program1!A:C,3,0)</f>
        <v>6</v>
      </c>
      <c r="H27" s="2">
        <f>course_requisites!D:D</f>
        <v>1</v>
      </c>
      <c r="I27" s="2" t="str">
        <f t="shared" si="1"/>
        <v>M215M221</v>
      </c>
    </row>
    <row r="28" ht="15.75" customHeight="1">
      <c r="A28" s="2">
        <f>course_requisites!A:A</f>
        <v>20</v>
      </c>
      <c r="B28" s="2" t="str">
        <f>course_requisites!B:B</f>
        <v>M215</v>
      </c>
      <c r="C28" s="11" t="str">
        <f>course_requisites!C:C</f>
        <v>M200</v>
      </c>
      <c r="D28" s="10">
        <f>VLOOKUP(B28,courses_program1!A:C,2,0)</f>
        <v>-3.3</v>
      </c>
      <c r="E28" s="10">
        <f>VLOOKUP(B28,courses_program1!A:C,3,0)</f>
        <v>12</v>
      </c>
      <c r="F28" s="10">
        <f>VLOOKUP(C28,courses_program1!A:C,2,0)</f>
        <v>-1.4</v>
      </c>
      <c r="G28" s="10">
        <f>VLOOKUP(C28,courses_program1!A:C,3,0)</f>
        <v>9</v>
      </c>
      <c r="H28" s="2">
        <f>course_requisites!D:D</f>
        <v>1</v>
      </c>
      <c r="I28" s="2" t="str">
        <f t="shared" si="1"/>
        <v>M215M200</v>
      </c>
    </row>
    <row r="29" ht="15.75" customHeight="1">
      <c r="A29" s="2">
        <f>course_requisites!A:A</f>
        <v>21</v>
      </c>
      <c r="B29" s="2" t="str">
        <f>course_requisites!B:B</f>
        <v>M221</v>
      </c>
      <c r="C29" s="11" t="str">
        <f>course_requisites!C:C</f>
        <v>M100</v>
      </c>
      <c r="D29" s="10">
        <f>VLOOKUP(B29,courses_program1!A:C,2,0)</f>
        <v>-2.4</v>
      </c>
      <c r="E29" s="10">
        <f>VLOOKUP(B29,courses_program1!A:C,3,0)</f>
        <v>6</v>
      </c>
      <c r="F29" s="10">
        <f>VLOOKUP(C29,courses_program1!A:C,2,0)</f>
        <v>2</v>
      </c>
      <c r="G29" s="10">
        <f>VLOOKUP(C29,courses_program1!A:C,3,0)</f>
        <v>0</v>
      </c>
      <c r="H29" s="2">
        <f>course_requisites!D:D</f>
        <v>1</v>
      </c>
      <c r="I29" s="2" t="str">
        <f t="shared" si="1"/>
        <v>M221M100</v>
      </c>
    </row>
    <row r="30" ht="15.75" customHeight="1">
      <c r="A30" s="2">
        <f>course_requisites!A:A</f>
        <v>23</v>
      </c>
      <c r="B30" s="2" t="str">
        <f>course_requisites!B:B</f>
        <v>D200</v>
      </c>
      <c r="C30" s="11" t="str">
        <f>course_requisites!C:C</f>
        <v>D100</v>
      </c>
      <c r="D30" s="10">
        <f>VLOOKUP(B30,courses_program1!A:C,2,0)</f>
        <v>1.2</v>
      </c>
      <c r="E30" s="10">
        <f>VLOOKUP(B30,courses_program1!A:C,3,0)</f>
        <v>3</v>
      </c>
      <c r="F30" s="10">
        <f>VLOOKUP(C30,courses_program1!A:C,2,0)</f>
        <v>0</v>
      </c>
      <c r="G30" s="10">
        <f>VLOOKUP(C30,courses_program1!A:C,3,0)</f>
        <v>0</v>
      </c>
      <c r="H30" s="2">
        <f>course_requisites!D:D</f>
        <v>1</v>
      </c>
      <c r="I30" s="2" t="str">
        <f t="shared" si="1"/>
        <v>D200D100</v>
      </c>
    </row>
    <row r="31" ht="15.75" customHeight="1">
      <c r="A31" s="2">
        <f>course_requisites!A:A</f>
        <v>24</v>
      </c>
      <c r="B31" s="2" t="str">
        <f>course_requisites!B:B</f>
        <v>D220</v>
      </c>
      <c r="C31" s="11" t="str">
        <f>course_requisites!C:C</f>
        <v>M100</v>
      </c>
      <c r="D31" s="10">
        <f>VLOOKUP(B31,courses_program1!A:C,2,0)</f>
        <v>1.4</v>
      </c>
      <c r="E31" s="10">
        <f>VLOOKUP(B31,courses_program1!A:C,3,0)</f>
        <v>9</v>
      </c>
      <c r="F31" s="10">
        <f>VLOOKUP(C31,courses_program1!A:C,2,0)</f>
        <v>2</v>
      </c>
      <c r="G31" s="10">
        <f>VLOOKUP(C31,courses_program1!A:C,3,0)</f>
        <v>0</v>
      </c>
      <c r="H31" s="2">
        <f>course_requisites!D:D</f>
        <v>1</v>
      </c>
      <c r="I31" s="2" t="str">
        <f t="shared" si="1"/>
        <v>D220M100</v>
      </c>
    </row>
    <row r="32" ht="15.75" customHeight="1">
      <c r="A32" s="2">
        <f>course_requisites!A:A</f>
        <v>25</v>
      </c>
      <c r="B32" s="2" t="str">
        <f>course_requisites!B:B</f>
        <v>D220</v>
      </c>
      <c r="C32" s="11" t="str">
        <f>course_requisites!C:C</f>
        <v>D100</v>
      </c>
      <c r="D32" s="10">
        <f>VLOOKUP(B32,courses_program1!A:C,2,0)</f>
        <v>1.4</v>
      </c>
      <c r="E32" s="10">
        <f>VLOOKUP(B32,courses_program1!A:C,3,0)</f>
        <v>9</v>
      </c>
      <c r="F32" s="10">
        <f>VLOOKUP(C32,courses_program1!A:C,2,0)</f>
        <v>0</v>
      </c>
      <c r="G32" s="10">
        <f>VLOOKUP(C32,courses_program1!A:C,3,0)</f>
        <v>0</v>
      </c>
      <c r="H32" s="2">
        <f>course_requisites!D:D</f>
        <v>1</v>
      </c>
      <c r="I32" s="2" t="str">
        <f t="shared" si="1"/>
        <v>D220D100</v>
      </c>
    </row>
    <row r="33" ht="15.75" customHeight="1">
      <c r="A33" s="2">
        <f>course_requisites!A:A</f>
        <v>26</v>
      </c>
      <c r="B33" s="2" t="str">
        <f>course_requisites!B:B</f>
        <v>D220</v>
      </c>
      <c r="C33" s="11" t="str">
        <f>course_requisites!C:C</f>
        <v>C103</v>
      </c>
      <c r="D33" s="10">
        <f>VLOOKUP(B33,courses_program1!A:C,2,0)</f>
        <v>1.4</v>
      </c>
      <c r="E33" s="10">
        <f>VLOOKUP(B33,courses_program1!A:C,3,0)</f>
        <v>9</v>
      </c>
      <c r="F33" s="10">
        <f>VLOOKUP(C33,courses_program1!A:C,2,0)</f>
        <v>-4</v>
      </c>
      <c r="G33" s="10">
        <f>VLOOKUP(C33,courses_program1!A:C,3,0)</f>
        <v>0</v>
      </c>
      <c r="H33" s="2">
        <f>course_requisites!D:D</f>
        <v>1</v>
      </c>
      <c r="I33" s="2" t="str">
        <f t="shared" si="1"/>
        <v>D220C103</v>
      </c>
    </row>
    <row r="34" ht="15.75" customHeight="1">
      <c r="A34" s="2">
        <f>course_requisites!A:A</f>
        <v>26</v>
      </c>
      <c r="B34" s="2" t="str">
        <f>course_requisites!B:B</f>
        <v>D220</v>
      </c>
      <c r="C34" s="11" t="str">
        <f>course_requisites!C:C</f>
        <v>C203</v>
      </c>
      <c r="D34" s="10">
        <f>VLOOKUP(B34,courses_program1!A:C,2,0)</f>
        <v>1.4</v>
      </c>
      <c r="E34" s="10">
        <f>VLOOKUP(B34,courses_program1!A:C,3,0)</f>
        <v>9</v>
      </c>
      <c r="F34" s="10">
        <f>VLOOKUP(C34,courses_program1!A:C,2,0)</f>
        <v>-1.2</v>
      </c>
      <c r="G34" s="10">
        <f>VLOOKUP(C34,courses_program1!A:C,3,0)</f>
        <v>3</v>
      </c>
      <c r="H34" s="2">
        <f>course_requisites!D:D</f>
        <v>0</v>
      </c>
      <c r="I34" s="2" t="str">
        <f t="shared" si="1"/>
        <v>D220C203</v>
      </c>
    </row>
    <row r="35" ht="15.75" customHeight="1">
      <c r="A35" s="2">
        <f>course_requisites!A:A</f>
        <v>27</v>
      </c>
      <c r="B35" s="2" t="str">
        <f>course_requisites!B:B</f>
        <v>D221</v>
      </c>
      <c r="C35" s="11" t="str">
        <f>course_requisites!C:C</f>
        <v>D220</v>
      </c>
      <c r="D35" s="10">
        <f>VLOOKUP(B35,courses_program1!A:C,2,0)</f>
        <v>-6.6</v>
      </c>
      <c r="E35" s="10">
        <f>VLOOKUP(B35,courses_program1!A:C,3,0)</f>
        <v>12</v>
      </c>
      <c r="F35" s="10">
        <f>VLOOKUP(C35,courses_program1!A:C,2,0)</f>
        <v>1.4</v>
      </c>
      <c r="G35" s="10">
        <f>VLOOKUP(C35,courses_program1!A:C,3,0)</f>
        <v>9</v>
      </c>
      <c r="H35" s="2">
        <f>course_requisites!D:D</f>
        <v>1</v>
      </c>
      <c r="I35" s="2" t="str">
        <f t="shared" si="1"/>
        <v>D221D220</v>
      </c>
    </row>
    <row r="36" ht="15.75" customHeight="1">
      <c r="A36" s="2">
        <f>course_requisites!A:A</f>
        <v>27</v>
      </c>
      <c r="B36" s="2" t="str">
        <f>course_requisites!B:B</f>
        <v>D221</v>
      </c>
      <c r="C36" s="11" t="str">
        <f>course_requisites!C:C</f>
        <v>C121</v>
      </c>
      <c r="D36" s="10">
        <f>VLOOKUP(B36,courses_program1!A:C,2,0)</f>
        <v>-6.6</v>
      </c>
      <c r="E36" s="10">
        <f>VLOOKUP(B36,courses_program1!A:C,3,0)</f>
        <v>12</v>
      </c>
      <c r="F36" s="10">
        <f>VLOOKUP(C36,courses_program1!A:C,2,0)</f>
        <v>-7.1</v>
      </c>
      <c r="G36" s="10">
        <f>VLOOKUP(C36,courses_program1!A:C,3,0)</f>
        <v>9</v>
      </c>
      <c r="H36" s="2">
        <f>course_requisites!D:D</f>
        <v>0</v>
      </c>
      <c r="I36" s="2" t="str">
        <f t="shared" si="1"/>
        <v>D221C121</v>
      </c>
    </row>
    <row r="37" ht="15.75" customHeight="1">
      <c r="A37" s="2">
        <f>course_requisites!A:A</f>
        <v>27</v>
      </c>
      <c r="B37" s="2" t="str">
        <f>course_requisites!B:B</f>
        <v>D221</v>
      </c>
      <c r="C37" s="11" t="str">
        <f>course_requisites!C:C</f>
        <v>C203</v>
      </c>
      <c r="D37" s="10">
        <f>VLOOKUP(B37,courses_program1!A:C,2,0)</f>
        <v>-6.6</v>
      </c>
      <c r="E37" s="10">
        <f>VLOOKUP(B37,courses_program1!A:C,3,0)</f>
        <v>12</v>
      </c>
      <c r="F37" s="10">
        <f>VLOOKUP(C37,courses_program1!A:C,2,0)</f>
        <v>-1.2</v>
      </c>
      <c r="G37" s="10">
        <f>VLOOKUP(C37,courses_program1!A:C,3,0)</f>
        <v>3</v>
      </c>
      <c r="H37" s="2">
        <f>course_requisites!D:D</f>
        <v>0</v>
      </c>
      <c r="I37" s="2" t="str">
        <f t="shared" si="1"/>
        <v>D221C203</v>
      </c>
    </row>
    <row r="38" ht="15.75" customHeight="1">
      <c r="A38" s="2">
        <f>course_requisites!A:A</f>
        <v>28</v>
      </c>
      <c r="B38" s="2" t="str">
        <f>course_requisites!B:B</f>
        <v>D310</v>
      </c>
      <c r="C38" s="11" t="str">
        <f>course_requisites!C:C</f>
        <v>D100</v>
      </c>
      <c r="D38" s="10">
        <f>VLOOKUP(B38,courses_program1!A:C,2,0)</f>
        <v>4.1</v>
      </c>
      <c r="E38" s="10">
        <f>VLOOKUP(B38,courses_program1!A:C,3,0)</f>
        <v>18</v>
      </c>
      <c r="F38" s="10">
        <f>VLOOKUP(C38,courses_program1!A:C,2,0)</f>
        <v>0</v>
      </c>
      <c r="G38" s="10">
        <f>VLOOKUP(C38,courses_program1!A:C,3,0)</f>
        <v>0</v>
      </c>
      <c r="H38" s="2">
        <f>course_requisites!D:D</f>
        <v>1</v>
      </c>
      <c r="I38" s="2" t="str">
        <f t="shared" si="1"/>
        <v>D310D100</v>
      </c>
    </row>
    <row r="39" ht="15.75" customHeight="1">
      <c r="A39" s="2">
        <f>course_requisites!A:A</f>
        <v>29</v>
      </c>
      <c r="B39" s="2" t="str">
        <f>course_requisites!B:B</f>
        <v>D310</v>
      </c>
      <c r="C39" s="11" t="str">
        <f>course_requisites!C:C</f>
        <v>C203</v>
      </c>
      <c r="D39" s="10">
        <f>VLOOKUP(B39,courses_program1!A:C,2,0)</f>
        <v>4.1</v>
      </c>
      <c r="E39" s="10">
        <f>VLOOKUP(B39,courses_program1!A:C,3,0)</f>
        <v>18</v>
      </c>
      <c r="F39" s="10">
        <f>VLOOKUP(C39,courses_program1!A:C,2,0)</f>
        <v>-1.2</v>
      </c>
      <c r="G39" s="10">
        <f>VLOOKUP(C39,courses_program1!A:C,3,0)</f>
        <v>3</v>
      </c>
      <c r="H39" s="2">
        <f>course_requisites!D:D</f>
        <v>1</v>
      </c>
      <c r="I39" s="2" t="str">
        <f t="shared" si="1"/>
        <v>D310C203</v>
      </c>
    </row>
    <row r="40" ht="15.75" customHeight="1">
      <c r="A40" s="2">
        <f>course_requisites!A:A</f>
        <v>29</v>
      </c>
      <c r="B40" s="2" t="str">
        <f>course_requisites!B:B</f>
        <v>D310</v>
      </c>
      <c r="C40" s="11" t="str">
        <f>course_requisites!C:C</f>
        <v>C210</v>
      </c>
      <c r="D40" s="10">
        <f>VLOOKUP(B40,courses_program1!A:C,2,0)</f>
        <v>4.1</v>
      </c>
      <c r="E40" s="10">
        <f>VLOOKUP(B40,courses_program1!A:C,3,0)</f>
        <v>18</v>
      </c>
      <c r="F40" s="10">
        <f>VLOOKUP(C40,courses_program1!A:C,2,0)</f>
        <v>-4.3</v>
      </c>
      <c r="G40" s="10">
        <f>VLOOKUP(C40,courses_program1!A:C,3,0)</f>
        <v>9</v>
      </c>
      <c r="H40" s="2">
        <f>course_requisites!D:D</f>
        <v>1</v>
      </c>
      <c r="I40" s="2" t="str">
        <f t="shared" si="1"/>
        <v>D310C210</v>
      </c>
    </row>
    <row r="41" ht="15.75" customHeight="1">
      <c r="A41" s="2">
        <f>course_requisites!A:A</f>
        <v>29</v>
      </c>
      <c r="B41" s="2" t="str">
        <f>course_requisites!B:B</f>
        <v>D310</v>
      </c>
      <c r="C41" s="11" t="str">
        <f>course_requisites!C:C</f>
        <v>M210</v>
      </c>
      <c r="D41" s="10">
        <f>VLOOKUP(B41,courses_program1!A:C,2,0)</f>
        <v>4.1</v>
      </c>
      <c r="E41" s="10">
        <f>VLOOKUP(B41,courses_program1!A:C,3,0)</f>
        <v>18</v>
      </c>
      <c r="F41" s="10">
        <f>VLOOKUP(C41,courses_program1!A:C,2,0)</f>
        <v>1.9</v>
      </c>
      <c r="G41" s="10">
        <f>VLOOKUP(C41,courses_program1!A:C,3,0)</f>
        <v>15</v>
      </c>
      <c r="H41" s="2">
        <f>course_requisites!D:D</f>
        <v>0</v>
      </c>
      <c r="I41" s="2" t="str">
        <f t="shared" si="1"/>
        <v>D310M210</v>
      </c>
    </row>
    <row r="42" ht="15.75" customHeight="1">
      <c r="A42" s="2">
        <f>course_requisites!A:A</f>
        <v>29</v>
      </c>
      <c r="B42" s="2" t="str">
        <f>course_requisites!B:B</f>
        <v>D310</v>
      </c>
      <c r="C42" s="11" t="str">
        <f>course_requisites!C:C</f>
        <v>C107</v>
      </c>
      <c r="D42" s="10">
        <f>VLOOKUP(B42,courses_program1!A:C,2,0)</f>
        <v>4.1</v>
      </c>
      <c r="E42" s="10">
        <f>VLOOKUP(B42,courses_program1!A:C,3,0)</f>
        <v>18</v>
      </c>
      <c r="F42" s="10">
        <f>VLOOKUP(C42,courses_program1!A:C,2,0)</f>
        <v>-3.6</v>
      </c>
      <c r="G42" s="10">
        <f>VLOOKUP(C42,courses_program1!A:C,3,0)</f>
        <v>3</v>
      </c>
      <c r="H42" s="2">
        <f>course_requisites!D:D</f>
        <v>0</v>
      </c>
      <c r="I42" s="2" t="str">
        <f t="shared" si="1"/>
        <v>D310C107</v>
      </c>
    </row>
    <row r="43" ht="15.75" customHeight="1">
      <c r="A43" s="2">
        <f>course_requisites!A:A</f>
        <v>29</v>
      </c>
      <c r="B43" s="2" t="str">
        <f>course_requisites!B:B</f>
        <v>D310</v>
      </c>
      <c r="C43" s="11" t="str">
        <f>course_requisites!C:C</f>
        <v>C110</v>
      </c>
      <c r="D43" s="10">
        <f>VLOOKUP(B43,courses_program1!A:C,2,0)</f>
        <v>4.1</v>
      </c>
      <c r="E43" s="10">
        <f>VLOOKUP(B43,courses_program1!A:C,3,0)</f>
        <v>18</v>
      </c>
      <c r="F43" s="10">
        <f>VLOOKUP(C43,courses_program1!A:C,2,0)</f>
        <v>-2</v>
      </c>
      <c r="G43" s="10">
        <f>VLOOKUP(C43,courses_program1!A:C,3,0)</f>
        <v>0</v>
      </c>
      <c r="H43" s="2">
        <f>course_requisites!D:D</f>
        <v>0</v>
      </c>
      <c r="I43" s="2" t="str">
        <f t="shared" si="1"/>
        <v>D310C110</v>
      </c>
    </row>
    <row r="44" ht="15.75" customHeight="1">
      <c r="A44" s="2">
        <f>course_requisites!A:A</f>
        <v>30</v>
      </c>
      <c r="B44" s="2" t="str">
        <f>course_requisites!B:B</f>
        <v>D320</v>
      </c>
      <c r="C44" s="11" t="str">
        <f>course_requisites!C:C</f>
        <v>S201</v>
      </c>
      <c r="D44" s="10">
        <f>VLOOKUP(B44,courses_program1!A:C,2,0)</f>
        <v>-1.9</v>
      </c>
      <c r="E44" s="10">
        <f>VLOOKUP(B44,courses_program1!A:C,3,0)</f>
        <v>15</v>
      </c>
      <c r="F44" s="10">
        <f>VLOOKUP(C44,courses_program1!A:C,2,0)</f>
        <v>0</v>
      </c>
      <c r="G44" s="10">
        <f>VLOOKUP(C44,courses_program1!A:C,3,0)</f>
        <v>6</v>
      </c>
      <c r="H44" s="2">
        <f>course_requisites!D:D</f>
        <v>1</v>
      </c>
      <c r="I44" s="2" t="str">
        <f t="shared" si="1"/>
        <v>D320S201</v>
      </c>
    </row>
    <row r="45" ht="15.75" customHeight="1">
      <c r="A45" s="2">
        <f>course_requisites!A:A</f>
        <v>31</v>
      </c>
      <c r="B45" s="2" t="str">
        <f>course_requisites!B:B</f>
        <v>D320</v>
      </c>
      <c r="C45" s="11" t="str">
        <f>course_requisites!C:C</f>
        <v>C203</v>
      </c>
      <c r="D45" s="10">
        <f>VLOOKUP(B45,courses_program1!A:C,2,0)</f>
        <v>-1.9</v>
      </c>
      <c r="E45" s="10">
        <f>VLOOKUP(B45,courses_program1!A:C,3,0)</f>
        <v>15</v>
      </c>
      <c r="F45" s="10">
        <f>VLOOKUP(C45,courses_program1!A:C,2,0)</f>
        <v>-1.2</v>
      </c>
      <c r="G45" s="10">
        <f>VLOOKUP(C45,courses_program1!A:C,3,0)</f>
        <v>3</v>
      </c>
      <c r="H45" s="2">
        <f>course_requisites!D:D</f>
        <v>1</v>
      </c>
      <c r="I45" s="2" t="str">
        <f t="shared" si="1"/>
        <v>D320C203</v>
      </c>
    </row>
    <row r="46" ht="15.75" customHeight="1">
      <c r="A46" s="2">
        <f>course_requisites!A:A</f>
        <v>31</v>
      </c>
      <c r="B46" s="2" t="str">
        <f>course_requisites!B:B</f>
        <v>D320</v>
      </c>
      <c r="C46" s="11" t="str">
        <f>course_requisites!C:C</f>
        <v>C210</v>
      </c>
      <c r="D46" s="10">
        <f>VLOOKUP(B46,courses_program1!A:C,2,0)</f>
        <v>-1.9</v>
      </c>
      <c r="E46" s="10">
        <f>VLOOKUP(B46,courses_program1!A:C,3,0)</f>
        <v>15</v>
      </c>
      <c r="F46" s="10">
        <f>VLOOKUP(C46,courses_program1!A:C,2,0)</f>
        <v>-4.3</v>
      </c>
      <c r="G46" s="10">
        <f>VLOOKUP(C46,courses_program1!A:C,3,0)</f>
        <v>9</v>
      </c>
      <c r="H46" s="2">
        <f>course_requisites!D:D</f>
        <v>1</v>
      </c>
      <c r="I46" s="2" t="str">
        <f t="shared" si="1"/>
        <v>D320C210</v>
      </c>
    </row>
    <row r="47" ht="15.75" customHeight="1">
      <c r="A47" s="2">
        <f>course_requisites!A:A</f>
        <v>31</v>
      </c>
      <c r="B47" s="2" t="str">
        <f>course_requisites!B:B</f>
        <v>D320</v>
      </c>
      <c r="C47" s="11" t="str">
        <f>course_requisites!C:C</f>
        <v>D221</v>
      </c>
      <c r="D47" s="10">
        <f>VLOOKUP(B47,courses_program1!A:C,2,0)</f>
        <v>-1.9</v>
      </c>
      <c r="E47" s="10">
        <f>VLOOKUP(B47,courses_program1!A:C,3,0)</f>
        <v>15</v>
      </c>
      <c r="F47" s="10">
        <f>VLOOKUP(C47,courses_program1!A:C,2,0)</f>
        <v>-6.6</v>
      </c>
      <c r="G47" s="10">
        <f>VLOOKUP(C47,courses_program1!A:C,3,0)</f>
        <v>12</v>
      </c>
      <c r="H47" s="2">
        <f>course_requisites!D:D</f>
        <v>1</v>
      </c>
      <c r="I47" s="2" t="str">
        <f t="shared" si="1"/>
        <v>D320D221</v>
      </c>
    </row>
    <row r="48" ht="15.75" customHeight="1">
      <c r="A48" s="2">
        <f>course_requisites!A:A</f>
        <v>32</v>
      </c>
      <c r="B48" s="2" t="str">
        <f>course_requisites!B:B</f>
        <v>D430</v>
      </c>
      <c r="C48" s="11" t="str">
        <f>course_requisites!C:C</f>
        <v>C330</v>
      </c>
      <c r="D48" s="10">
        <f>VLOOKUP(B48,courses_program1!A:C,2,0)</f>
        <v>0</v>
      </c>
      <c r="E48" s="10">
        <f>VLOOKUP(B48,courses_program1!A:C,3,0)</f>
        <v>24</v>
      </c>
      <c r="F48" s="10">
        <f>VLOOKUP(C48,courses_program1!A:C,2,0)</f>
        <v>-4.1</v>
      </c>
      <c r="G48" s="10">
        <f>VLOOKUP(C48,courses_program1!A:C,3,0)</f>
        <v>18</v>
      </c>
      <c r="H48" s="2">
        <f>course_requisites!D:D</f>
        <v>1</v>
      </c>
      <c r="I48" s="2" t="str">
        <f t="shared" si="1"/>
        <v>D430C330</v>
      </c>
    </row>
    <row r="49" ht="15.75" customHeight="1">
      <c r="A49" s="2">
        <f>course_requisites!A:A</f>
        <v>32</v>
      </c>
      <c r="B49" s="2" t="str">
        <f>course_requisites!B:B</f>
        <v>D430</v>
      </c>
      <c r="C49" s="11" t="str">
        <f>course_requisites!C:C</f>
        <v>C340</v>
      </c>
      <c r="D49" s="10">
        <f>VLOOKUP(B49,courses_program1!A:C,2,0)</f>
        <v>0</v>
      </c>
      <c r="E49" s="10">
        <f>VLOOKUP(B49,courses_program1!A:C,3,0)</f>
        <v>24</v>
      </c>
      <c r="F49" s="10">
        <f>VLOOKUP(C49,courses_program1!A:C,2,0)</f>
        <v>0</v>
      </c>
      <c r="G49" s="10">
        <f>VLOOKUP(C49,courses_program1!A:C,3,0)</f>
        <v>18</v>
      </c>
      <c r="H49" s="2">
        <f>course_requisites!D:D</f>
        <v>1</v>
      </c>
      <c r="I49" s="2" t="str">
        <f t="shared" si="1"/>
        <v>D430C340</v>
      </c>
    </row>
    <row r="50" ht="15.75" customHeight="1">
      <c r="A50" s="2">
        <f>course_requisites!A:A</f>
        <v>32</v>
      </c>
      <c r="B50" s="2" t="str">
        <f>course_requisites!B:B</f>
        <v>D430</v>
      </c>
      <c r="C50" s="11" t="str">
        <f>course_requisites!C:C</f>
        <v>S301</v>
      </c>
      <c r="D50" s="10">
        <f>VLOOKUP(B50,courses_program1!A:C,2,0)</f>
        <v>0</v>
      </c>
      <c r="E50" s="10">
        <f>VLOOKUP(B50,courses_program1!A:C,3,0)</f>
        <v>24</v>
      </c>
      <c r="F50" s="10">
        <f>VLOOKUP(C50,courses_program1!A:C,2,0)</f>
        <v>7.1</v>
      </c>
      <c r="G50" s="10">
        <f>VLOOKUP(C50,courses_program1!A:C,3,0)</f>
        <v>9</v>
      </c>
      <c r="H50" s="2">
        <f>course_requisites!D:D</f>
        <v>1</v>
      </c>
      <c r="I50" s="2" t="str">
        <f t="shared" si="1"/>
        <v>D430S301</v>
      </c>
    </row>
    <row r="51" ht="15.75" customHeight="1">
      <c r="A51" s="2">
        <f>course_requisites!A:A</f>
        <v>32</v>
      </c>
      <c r="B51" s="2" t="str">
        <f>course_requisites!B:B</f>
        <v>D430</v>
      </c>
      <c r="C51" s="11" t="str">
        <f>course_requisites!C:C</f>
        <v>S406</v>
      </c>
      <c r="D51" s="10">
        <f>VLOOKUP(B51,courses_program1!A:C,2,0)</f>
        <v>0</v>
      </c>
      <c r="E51" s="10">
        <f>VLOOKUP(B51,courses_program1!A:C,3,0)</f>
        <v>24</v>
      </c>
      <c r="F51" s="10">
        <f>VLOOKUP(C51,courses_program1!A:C,2,0)</f>
        <v>0</v>
      </c>
      <c r="G51" s="10">
        <f>VLOOKUP(C51,courses_program1!A:C,3,0)</f>
        <v>21</v>
      </c>
      <c r="H51" s="2">
        <f>course_requisites!D:D</f>
        <v>1</v>
      </c>
      <c r="I51" s="2" t="str">
        <f t="shared" si="1"/>
        <v>D430S406</v>
      </c>
    </row>
    <row r="52" ht="15.75" customHeight="1">
      <c r="A52" s="2">
        <f>course_requisites!A:A</f>
        <v>33</v>
      </c>
      <c r="B52" s="2" t="str">
        <f>course_requisites!B:B</f>
        <v>C107</v>
      </c>
      <c r="C52" s="11" t="str">
        <f>course_requisites!C:C</f>
        <v>C103</v>
      </c>
      <c r="D52" s="10">
        <f>VLOOKUP(B52,courses_program1!A:C,2,0)</f>
        <v>-3.6</v>
      </c>
      <c r="E52" s="10">
        <f>VLOOKUP(B52,courses_program1!A:C,3,0)</f>
        <v>3</v>
      </c>
      <c r="F52" s="10">
        <f>VLOOKUP(C52,courses_program1!A:C,2,0)</f>
        <v>-4</v>
      </c>
      <c r="G52" s="10">
        <f>VLOOKUP(C52,courses_program1!A:C,3,0)</f>
        <v>0</v>
      </c>
      <c r="H52" s="2">
        <f>course_requisites!D:D</f>
        <v>1</v>
      </c>
      <c r="I52" s="2" t="str">
        <f t="shared" si="1"/>
        <v>C107C103</v>
      </c>
    </row>
    <row r="53" ht="15.75" customHeight="1">
      <c r="A53" s="2">
        <f>course_requisites!A:A</f>
        <v>35</v>
      </c>
      <c r="B53" s="2" t="str">
        <f>course_requisites!B:B</f>
        <v>C121</v>
      </c>
      <c r="C53" s="11" t="str">
        <f>course_requisites!C:C</f>
        <v>C107</v>
      </c>
      <c r="D53" s="10">
        <f>VLOOKUP(B53,courses_program1!A:C,2,0)</f>
        <v>-7.1</v>
      </c>
      <c r="E53" s="10">
        <f>VLOOKUP(B53,courses_program1!A:C,3,0)</f>
        <v>9</v>
      </c>
      <c r="F53" s="10">
        <f>VLOOKUP(C53,courses_program1!A:C,2,0)</f>
        <v>-3.6</v>
      </c>
      <c r="G53" s="10">
        <f>VLOOKUP(C53,courses_program1!A:C,3,0)</f>
        <v>3</v>
      </c>
      <c r="H53" s="2">
        <f>course_requisites!D:D</f>
        <v>1</v>
      </c>
      <c r="I53" s="2" t="str">
        <f t="shared" si="1"/>
        <v>C121C107</v>
      </c>
    </row>
    <row r="54" ht="15.75" customHeight="1">
      <c r="A54" s="2">
        <f>course_requisites!A:A</f>
        <v>35</v>
      </c>
      <c r="B54" s="2" t="str">
        <f>course_requisites!B:B</f>
        <v>C121</v>
      </c>
      <c r="C54" s="11" t="str">
        <f>course_requisites!C:C</f>
        <v>C110</v>
      </c>
      <c r="D54" s="10">
        <f>VLOOKUP(B54,courses_program1!A:C,2,0)</f>
        <v>-7.1</v>
      </c>
      <c r="E54" s="10">
        <f>VLOOKUP(B54,courses_program1!A:C,3,0)</f>
        <v>9</v>
      </c>
      <c r="F54" s="10">
        <f>VLOOKUP(C54,courses_program1!A:C,2,0)</f>
        <v>-2</v>
      </c>
      <c r="G54" s="10">
        <f>VLOOKUP(C54,courses_program1!A:C,3,0)</f>
        <v>0</v>
      </c>
      <c r="H54" s="2">
        <f>course_requisites!D:D</f>
        <v>1</v>
      </c>
      <c r="I54" s="2" t="str">
        <f t="shared" si="1"/>
        <v>C121C110</v>
      </c>
    </row>
    <row r="55" ht="15.75" customHeight="1">
      <c r="A55" s="2">
        <f>course_requisites!A:A</f>
        <v>36</v>
      </c>
      <c r="B55" s="2" t="str">
        <f>course_requisites!B:B</f>
        <v>C203</v>
      </c>
      <c r="C55" s="11" t="str">
        <f>course_requisites!C:C</f>
        <v>C103</v>
      </c>
      <c r="D55" s="10">
        <f>VLOOKUP(B55,courses_program1!A:C,2,0)</f>
        <v>-1.2</v>
      </c>
      <c r="E55" s="10">
        <f>VLOOKUP(B55,courses_program1!A:C,3,0)</f>
        <v>3</v>
      </c>
      <c r="F55" s="10">
        <f>VLOOKUP(C55,courses_program1!A:C,2,0)</f>
        <v>-4</v>
      </c>
      <c r="G55" s="10">
        <f>VLOOKUP(C55,courses_program1!A:C,3,0)</f>
        <v>0</v>
      </c>
      <c r="H55" s="2">
        <f>course_requisites!D:D</f>
        <v>1</v>
      </c>
      <c r="I55" s="2" t="str">
        <f t="shared" si="1"/>
        <v>C203C103</v>
      </c>
    </row>
    <row r="56" ht="15.75" customHeight="1">
      <c r="A56" s="2">
        <f>course_requisites!A:A</f>
        <v>36</v>
      </c>
      <c r="B56" s="2" t="str">
        <f>course_requisites!B:B</f>
        <v>C203</v>
      </c>
      <c r="C56" s="11" t="str">
        <f>course_requisites!C:C</f>
        <v>C110</v>
      </c>
      <c r="D56" s="10">
        <f>VLOOKUP(B56,courses_program1!A:C,2,0)</f>
        <v>-1.2</v>
      </c>
      <c r="E56" s="10">
        <f>VLOOKUP(B56,courses_program1!A:C,3,0)</f>
        <v>3</v>
      </c>
      <c r="F56" s="10">
        <f>VLOOKUP(C56,courses_program1!A:C,2,0)</f>
        <v>-2</v>
      </c>
      <c r="G56" s="10">
        <f>VLOOKUP(C56,courses_program1!A:C,3,0)</f>
        <v>0</v>
      </c>
      <c r="H56" s="2">
        <f>course_requisites!D:D</f>
        <v>1</v>
      </c>
      <c r="I56" s="2" t="str">
        <f t="shared" si="1"/>
        <v>C203C110</v>
      </c>
    </row>
    <row r="57" ht="15.75" customHeight="1">
      <c r="A57" s="2">
        <f>course_requisites!A:A</f>
        <v>37</v>
      </c>
      <c r="B57" s="2" t="str">
        <f>course_requisites!B:B</f>
        <v>C210</v>
      </c>
      <c r="C57" s="11" t="str">
        <f>course_requisites!C:C</f>
        <v>C107</v>
      </c>
      <c r="D57" s="10">
        <f>VLOOKUP(B57,courses_program1!A:C,2,0)</f>
        <v>-4.3</v>
      </c>
      <c r="E57" s="10">
        <f>VLOOKUP(B57,courses_program1!A:C,3,0)</f>
        <v>9</v>
      </c>
      <c r="F57" s="10">
        <f>VLOOKUP(C57,courses_program1!A:C,2,0)</f>
        <v>-3.6</v>
      </c>
      <c r="G57" s="10">
        <f>VLOOKUP(C57,courses_program1!A:C,3,0)</f>
        <v>3</v>
      </c>
      <c r="H57" s="2">
        <f>course_requisites!D:D</f>
        <v>1</v>
      </c>
      <c r="I57" s="2" t="str">
        <f t="shared" si="1"/>
        <v>C210C107</v>
      </c>
    </row>
    <row r="58" ht="15.75" customHeight="1">
      <c r="A58" s="2">
        <f>course_requisites!A:A</f>
        <v>37</v>
      </c>
      <c r="B58" s="2" t="str">
        <f>course_requisites!B:B</f>
        <v>C210</v>
      </c>
      <c r="C58" s="11" t="str">
        <f>course_requisites!C:C</f>
        <v>C110</v>
      </c>
      <c r="D58" s="10">
        <f>VLOOKUP(B58,courses_program1!A:C,2,0)</f>
        <v>-4.3</v>
      </c>
      <c r="E58" s="10">
        <f>VLOOKUP(B58,courses_program1!A:C,3,0)</f>
        <v>9</v>
      </c>
      <c r="F58" s="10">
        <f>VLOOKUP(C58,courses_program1!A:C,2,0)</f>
        <v>-2</v>
      </c>
      <c r="G58" s="10">
        <f>VLOOKUP(C58,courses_program1!A:C,3,0)</f>
        <v>0</v>
      </c>
      <c r="H58" s="2">
        <f>course_requisites!D:D</f>
        <v>1</v>
      </c>
      <c r="I58" s="2" t="str">
        <f t="shared" si="1"/>
        <v>C210C110</v>
      </c>
    </row>
    <row r="59" ht="15.75" customHeight="1">
      <c r="A59" s="2">
        <f>course_requisites!A:A</f>
        <v>38</v>
      </c>
      <c r="B59" s="2" t="str">
        <f>course_requisites!B:B</f>
        <v>C330</v>
      </c>
      <c r="C59" s="11" t="str">
        <f>course_requisites!C:C</f>
        <v>C203</v>
      </c>
      <c r="D59" s="10">
        <f>VLOOKUP(B59,courses_program1!A:C,2,0)</f>
        <v>-4.1</v>
      </c>
      <c r="E59" s="10">
        <f>VLOOKUP(B59,courses_program1!A:C,3,0)</f>
        <v>18</v>
      </c>
      <c r="F59" s="10">
        <f>VLOOKUP(C59,courses_program1!A:C,2,0)</f>
        <v>-1.2</v>
      </c>
      <c r="G59" s="10">
        <f>VLOOKUP(C59,courses_program1!A:C,3,0)</f>
        <v>3</v>
      </c>
      <c r="H59" s="2">
        <f>course_requisites!D:D</f>
        <v>1</v>
      </c>
      <c r="I59" s="2" t="str">
        <f t="shared" si="1"/>
        <v>C330C203</v>
      </c>
    </row>
    <row r="60" ht="15.75" customHeight="1">
      <c r="A60" s="2">
        <f>course_requisites!A:A</f>
        <v>38</v>
      </c>
      <c r="B60" s="2" t="str">
        <f>course_requisites!B:B</f>
        <v>C330</v>
      </c>
      <c r="C60" s="11" t="str">
        <f>course_requisites!C:C</f>
        <v>C210</v>
      </c>
      <c r="D60" s="10">
        <f>VLOOKUP(B60,courses_program1!A:C,2,0)</f>
        <v>-4.1</v>
      </c>
      <c r="E60" s="10">
        <f>VLOOKUP(B60,courses_program1!A:C,3,0)</f>
        <v>18</v>
      </c>
      <c r="F60" s="10">
        <f>VLOOKUP(C60,courses_program1!A:C,2,0)</f>
        <v>-4.3</v>
      </c>
      <c r="G60" s="10">
        <f>VLOOKUP(C60,courses_program1!A:C,3,0)</f>
        <v>9</v>
      </c>
      <c r="H60" s="2">
        <f>course_requisites!D:D</f>
        <v>1</v>
      </c>
      <c r="I60" s="2" t="str">
        <f t="shared" si="1"/>
        <v>C330C210</v>
      </c>
    </row>
    <row r="61" ht="15.75" customHeight="1">
      <c r="A61" s="2">
        <f>course_requisites!A:A</f>
        <v>38</v>
      </c>
      <c r="B61" s="2" t="str">
        <f>course_requisites!B:B</f>
        <v>C330</v>
      </c>
      <c r="C61" s="11" t="str">
        <f>course_requisites!C:C</f>
        <v>D221</v>
      </c>
      <c r="D61" s="10">
        <f>VLOOKUP(B61,courses_program1!A:C,2,0)</f>
        <v>-4.1</v>
      </c>
      <c r="E61" s="10">
        <f>VLOOKUP(B61,courses_program1!A:C,3,0)</f>
        <v>18</v>
      </c>
      <c r="F61" s="10">
        <f>VLOOKUP(C61,courses_program1!A:C,2,0)</f>
        <v>-6.6</v>
      </c>
      <c r="G61" s="10">
        <f>VLOOKUP(C61,courses_program1!A:C,3,0)</f>
        <v>12</v>
      </c>
      <c r="H61" s="2">
        <f>course_requisites!D:D</f>
        <v>1</v>
      </c>
      <c r="I61" s="2" t="str">
        <f t="shared" si="1"/>
        <v>C330D221</v>
      </c>
    </row>
    <row r="62" ht="15.75" customHeight="1">
      <c r="A62" s="2">
        <f>course_requisites!A:A</f>
        <v>38</v>
      </c>
      <c r="B62" s="2" t="str">
        <f>course_requisites!B:B</f>
        <v>C330</v>
      </c>
      <c r="C62" s="11" t="str">
        <f>course_requisites!C:C</f>
        <v>M210</v>
      </c>
      <c r="D62" s="10">
        <f>VLOOKUP(B62,courses_program1!A:C,2,0)</f>
        <v>-4.1</v>
      </c>
      <c r="E62" s="10">
        <f>VLOOKUP(B62,courses_program1!A:C,3,0)</f>
        <v>18</v>
      </c>
      <c r="F62" s="10">
        <f>VLOOKUP(C62,courses_program1!A:C,2,0)</f>
        <v>1.9</v>
      </c>
      <c r="G62" s="10">
        <f>VLOOKUP(C62,courses_program1!A:C,3,0)</f>
        <v>15</v>
      </c>
      <c r="H62" s="2">
        <f>course_requisites!D:D</f>
        <v>0</v>
      </c>
      <c r="I62" s="2" t="str">
        <f t="shared" si="1"/>
        <v>C330M210</v>
      </c>
    </row>
    <row r="63" ht="15.75" customHeight="1">
      <c r="A63" s="2">
        <f>course_requisites!A:A</f>
        <v>38</v>
      </c>
      <c r="B63" s="2" t="str">
        <f>course_requisites!B:B</f>
        <v>C330</v>
      </c>
      <c r="C63" s="11" t="str">
        <f>course_requisites!C:C</f>
        <v>C107</v>
      </c>
      <c r="D63" s="10">
        <f>VLOOKUP(B63,courses_program1!A:C,2,0)</f>
        <v>-4.1</v>
      </c>
      <c r="E63" s="10">
        <f>VLOOKUP(B63,courses_program1!A:C,3,0)</f>
        <v>18</v>
      </c>
      <c r="F63" s="10">
        <f>VLOOKUP(C63,courses_program1!A:C,2,0)</f>
        <v>-3.6</v>
      </c>
      <c r="G63" s="10">
        <f>VLOOKUP(C63,courses_program1!A:C,3,0)</f>
        <v>3</v>
      </c>
      <c r="H63" s="2">
        <f>course_requisites!D:D</f>
        <v>0</v>
      </c>
      <c r="I63" s="2" t="str">
        <f t="shared" si="1"/>
        <v>C330C107</v>
      </c>
    </row>
    <row r="64" ht="15.75" customHeight="1">
      <c r="A64" s="2">
        <f>course_requisites!A:A</f>
        <v>38</v>
      </c>
      <c r="B64" s="2" t="str">
        <f>course_requisites!B:B</f>
        <v>C330</v>
      </c>
      <c r="C64" s="11" t="str">
        <f>course_requisites!C:C</f>
        <v>C110</v>
      </c>
      <c r="D64" s="10">
        <f>VLOOKUP(B64,courses_program1!A:C,2,0)</f>
        <v>-4.1</v>
      </c>
      <c r="E64" s="10">
        <f>VLOOKUP(B64,courses_program1!A:C,3,0)</f>
        <v>18</v>
      </c>
      <c r="F64" s="10">
        <f>VLOOKUP(C64,courses_program1!A:C,2,0)</f>
        <v>-2</v>
      </c>
      <c r="G64" s="10">
        <f>VLOOKUP(C64,courses_program1!A:C,3,0)</f>
        <v>0</v>
      </c>
      <c r="H64" s="2">
        <f>course_requisites!D:D</f>
        <v>0</v>
      </c>
      <c r="I64" s="2" t="str">
        <f t="shared" si="1"/>
        <v>C330C110</v>
      </c>
    </row>
    <row r="65" ht="15.75" customHeight="1">
      <c r="A65" s="2">
        <f>course_requisites!A:A</f>
        <v>39</v>
      </c>
      <c r="B65" s="2" t="str">
        <f>course_requisites!B:B</f>
        <v>C340</v>
      </c>
      <c r="C65" s="11" t="str">
        <f>course_requisites!C:C</f>
        <v>C221</v>
      </c>
      <c r="D65" s="10">
        <f>VLOOKUP(B65,courses_program1!A:C,2,0)</f>
        <v>0</v>
      </c>
      <c r="E65" s="10">
        <f>VLOOKUP(B65,courses_program1!A:C,3,0)</f>
        <v>18</v>
      </c>
      <c r="F65" s="10">
        <f>VLOOKUP(C65,courses_program1!A:C,2,0)</f>
        <v>-5.6</v>
      </c>
      <c r="G65" s="10">
        <f>VLOOKUP(C65,courses_program1!A:C,3,0)</f>
        <v>15</v>
      </c>
      <c r="H65" s="2">
        <f>course_requisites!D:D</f>
        <v>1</v>
      </c>
      <c r="I65" s="2" t="str">
        <f t="shared" si="1"/>
        <v>C340C221</v>
      </c>
    </row>
    <row r="66" ht="15.75" customHeight="1">
      <c r="A66" s="2">
        <f>course_requisites!A:A</f>
        <v>39</v>
      </c>
      <c r="B66" s="2" t="str">
        <f>course_requisites!B:B</f>
        <v>C340</v>
      </c>
      <c r="C66" s="11" t="str">
        <f>course_requisites!C:C</f>
        <v>D221</v>
      </c>
      <c r="D66" s="10">
        <f>VLOOKUP(B66,courses_program1!A:C,2,0)</f>
        <v>0</v>
      </c>
      <c r="E66" s="10">
        <f>VLOOKUP(B66,courses_program1!A:C,3,0)</f>
        <v>18</v>
      </c>
      <c r="F66" s="10">
        <f>VLOOKUP(C66,courses_program1!A:C,2,0)</f>
        <v>-6.6</v>
      </c>
      <c r="G66" s="10">
        <f>VLOOKUP(C66,courses_program1!A:C,3,0)</f>
        <v>12</v>
      </c>
      <c r="H66" s="2">
        <f>course_requisites!D:D</f>
        <v>1</v>
      </c>
      <c r="I66" s="2" t="str">
        <f t="shared" si="1"/>
        <v>C340D221</v>
      </c>
    </row>
    <row r="67" ht="15.75" customHeight="1">
      <c r="A67" s="2">
        <f>course_requisites!A:A</f>
        <v>40</v>
      </c>
      <c r="B67" s="2" t="str">
        <f>course_requisites!B:B</f>
        <v>C340</v>
      </c>
      <c r="C67" s="11" t="str">
        <f>course_requisites!C:C</f>
        <v>M221</v>
      </c>
      <c r="D67" s="10">
        <f>VLOOKUP(B67,courses_program1!A:C,2,0)</f>
        <v>0</v>
      </c>
      <c r="E67" s="10">
        <f>VLOOKUP(B67,courses_program1!A:C,3,0)</f>
        <v>18</v>
      </c>
      <c r="F67" s="10">
        <f>VLOOKUP(C67,courses_program1!A:C,2,0)</f>
        <v>-2.4</v>
      </c>
      <c r="G67" s="10">
        <f>VLOOKUP(C67,courses_program1!A:C,3,0)</f>
        <v>6</v>
      </c>
      <c r="H67" s="2">
        <f>course_requisites!D:D</f>
        <v>1</v>
      </c>
      <c r="I67" s="2" t="str">
        <f t="shared" si="1"/>
        <v>C340M221</v>
      </c>
    </row>
    <row r="68" ht="15.75" customHeight="1">
      <c r="A68" s="2">
        <f>course_requisites!A:A</f>
        <v>41</v>
      </c>
      <c r="B68" s="2" t="str">
        <f>course_requisites!B:B</f>
        <v>C340</v>
      </c>
      <c r="C68" s="11" t="str">
        <f>course_requisites!C:C</f>
        <v>M200</v>
      </c>
      <c r="D68" s="10">
        <f>VLOOKUP(B68,courses_program1!A:C,2,0)</f>
        <v>0</v>
      </c>
      <c r="E68" s="10">
        <f>VLOOKUP(B68,courses_program1!A:C,3,0)</f>
        <v>18</v>
      </c>
      <c r="F68" s="10">
        <f>VLOOKUP(C68,courses_program1!A:C,2,0)</f>
        <v>-1.4</v>
      </c>
      <c r="G68" s="10">
        <f>VLOOKUP(C68,courses_program1!A:C,3,0)</f>
        <v>9</v>
      </c>
      <c r="H68" s="2">
        <f>course_requisites!D:D</f>
        <v>1</v>
      </c>
      <c r="I68" s="2" t="str">
        <f t="shared" si="1"/>
        <v>C340M200</v>
      </c>
    </row>
    <row r="69" ht="15.75" customHeight="1">
      <c r="A69" s="2">
        <f>course_requisites!A:A</f>
        <v>42</v>
      </c>
      <c r="B69" s="2" t="str">
        <f>course_requisites!B:B</f>
        <v>C340</v>
      </c>
      <c r="C69" s="11" t="str">
        <f>course_requisites!C:C</f>
        <v>S251</v>
      </c>
      <c r="D69" s="10">
        <f>VLOOKUP(B69,courses_program1!A:C,2,0)</f>
        <v>0</v>
      </c>
      <c r="E69" s="10">
        <f>VLOOKUP(B69,courses_program1!A:C,3,0)</f>
        <v>18</v>
      </c>
      <c r="F69" s="10">
        <f>VLOOKUP(C69,courses_program1!A:C,2,0)</f>
        <v>4.3</v>
      </c>
      <c r="G69" s="10">
        <f>VLOOKUP(C69,courses_program1!A:C,3,0)</f>
        <v>9</v>
      </c>
      <c r="H69" s="2">
        <f>course_requisites!D:D</f>
        <v>1</v>
      </c>
      <c r="I69" s="2" t="str">
        <f t="shared" si="1"/>
        <v>C340S251</v>
      </c>
    </row>
    <row r="70" ht="15.75" customHeight="1">
      <c r="A70" s="2">
        <f>course_requisites!A:A</f>
        <v>42</v>
      </c>
      <c r="B70" s="2" t="str">
        <f>course_requisites!B:B</f>
        <v>C340</v>
      </c>
      <c r="C70" s="11" t="str">
        <f>course_requisites!C:C</f>
        <v>S302</v>
      </c>
      <c r="D70" s="10">
        <f>VLOOKUP(B70,courses_program1!A:C,2,0)</f>
        <v>0</v>
      </c>
      <c r="E70" s="10">
        <f>VLOOKUP(B70,courses_program1!A:C,3,0)</f>
        <v>18</v>
      </c>
      <c r="F70" s="10">
        <f>VLOOKUP(C70,courses_program1!A:C,2,0)</f>
        <v>6.6</v>
      </c>
      <c r="G70" s="10">
        <f>VLOOKUP(C70,courses_program1!A:C,3,0)</f>
        <v>12</v>
      </c>
      <c r="H70" s="2">
        <f>course_requisites!D:D</f>
        <v>1</v>
      </c>
      <c r="I70" s="2" t="str">
        <f t="shared" si="1"/>
        <v>C340S302</v>
      </c>
    </row>
    <row r="71" ht="15.75" customHeight="1">
      <c r="A71" s="2">
        <f>course_requisites!A:A</f>
        <v>44</v>
      </c>
      <c r="B71" s="2" t="str">
        <f>course_requisites!B:B</f>
        <v>C221</v>
      </c>
      <c r="C71" s="11" t="str">
        <f>course_requisites!C:C</f>
        <v>C210</v>
      </c>
      <c r="D71" s="10">
        <f>VLOOKUP(B71,courses_program1!A:C,2,0)</f>
        <v>-5.6</v>
      </c>
      <c r="E71" s="10">
        <f>VLOOKUP(B71,courses_program1!A:C,3,0)</f>
        <v>15</v>
      </c>
      <c r="F71" s="10">
        <f>VLOOKUP(C71,courses_program1!A:C,2,0)</f>
        <v>-4.3</v>
      </c>
      <c r="G71" s="10">
        <f>VLOOKUP(C71,courses_program1!A:C,3,0)</f>
        <v>9</v>
      </c>
      <c r="H71" s="2">
        <f>course_requisites!D:D</f>
        <v>1</v>
      </c>
      <c r="I71" s="2" t="str">
        <f t="shared" si="1"/>
        <v>C221C210</v>
      </c>
    </row>
    <row r="72" ht="15.75" customHeight="1">
      <c r="A72" s="2">
        <f>course_requisites!A:A</f>
        <v>45</v>
      </c>
      <c r="B72" s="2" t="str">
        <f>course_requisites!B:B</f>
        <v>C221</v>
      </c>
      <c r="C72" s="11" t="str">
        <f>course_requisites!C:C</f>
        <v>C121</v>
      </c>
      <c r="D72" s="10">
        <f>VLOOKUP(B72,courses_program1!A:C,2,0)</f>
        <v>-5.6</v>
      </c>
      <c r="E72" s="10">
        <f>VLOOKUP(B72,courses_program1!A:C,3,0)</f>
        <v>15</v>
      </c>
      <c r="F72" s="10">
        <f>VLOOKUP(C72,courses_program1!A:C,2,0)</f>
        <v>-7.1</v>
      </c>
      <c r="G72" s="10">
        <f>VLOOKUP(C72,courses_program1!A:C,3,0)</f>
        <v>9</v>
      </c>
      <c r="H72" s="2">
        <f>course_requisites!D:D</f>
        <v>1</v>
      </c>
      <c r="I72" s="2" t="str">
        <f t="shared" si="1"/>
        <v>C221C121</v>
      </c>
    </row>
    <row r="73" ht="15.75" customHeight="1">
      <c r="A73" s="2">
        <f>course_requisites!A:A</f>
        <v>45</v>
      </c>
      <c r="B73" s="2" t="str">
        <f>course_requisites!B:B</f>
        <v>C221</v>
      </c>
      <c r="C73" s="11" t="str">
        <f>course_requisites!C:C</f>
        <v>M220</v>
      </c>
      <c r="D73" s="10">
        <f>VLOOKUP(B73,courses_program1!A:C,2,0)</f>
        <v>-5.6</v>
      </c>
      <c r="E73" s="10">
        <f>VLOOKUP(B73,courses_program1!A:C,3,0)</f>
        <v>15</v>
      </c>
      <c r="F73" s="10">
        <f>VLOOKUP(C73,courses_program1!A:C,2,0)</f>
        <v>0</v>
      </c>
      <c r="G73" s="10">
        <f>VLOOKUP(C73,courses_program1!A:C,3,0)</f>
        <v>12</v>
      </c>
      <c r="H73" s="2">
        <f>course_requisites!D:D</f>
        <v>1</v>
      </c>
      <c r="I73" s="2" t="str">
        <f t="shared" si="1"/>
        <v>C221M220</v>
      </c>
    </row>
    <row r="74" ht="15.75" customHeight="1">
      <c r="A74" s="2">
        <f>course_requisites!A:A</f>
        <v>45</v>
      </c>
      <c r="B74" s="2" t="str">
        <f>course_requisites!B:B</f>
        <v>C221</v>
      </c>
      <c r="C74" s="11" t="str">
        <f>course_requisites!C:C</f>
        <v>M200</v>
      </c>
      <c r="D74" s="10">
        <f>VLOOKUP(B74,courses_program1!A:C,2,0)</f>
        <v>-5.6</v>
      </c>
      <c r="E74" s="10">
        <f>VLOOKUP(B74,courses_program1!A:C,3,0)</f>
        <v>15</v>
      </c>
      <c r="F74" s="10">
        <f>VLOOKUP(C74,courses_program1!A:C,2,0)</f>
        <v>-1.4</v>
      </c>
      <c r="G74" s="10">
        <f>VLOOKUP(C74,courses_program1!A:C,3,0)</f>
        <v>9</v>
      </c>
      <c r="H74" s="2">
        <f>course_requisites!D:D</f>
        <v>0</v>
      </c>
      <c r="I74" s="2" t="str">
        <f t="shared" si="1"/>
        <v>C221M200</v>
      </c>
    </row>
    <row r="75" ht="15.75" customHeight="1">
      <c r="A75" s="2">
        <f>course_requisites!A:A</f>
        <v>46</v>
      </c>
      <c r="B75" s="2" t="str">
        <f>course_requisites!B:B</f>
        <v>M220</v>
      </c>
      <c r="C75" s="11" t="str">
        <f>course_requisites!C:C</f>
        <v>M101</v>
      </c>
      <c r="D75" s="10">
        <f>VLOOKUP(B75,courses_program1!A:C,2,0)</f>
        <v>0</v>
      </c>
      <c r="E75" s="10">
        <f>VLOOKUP(B75,courses_program1!A:C,3,0)</f>
        <v>12</v>
      </c>
      <c r="F75" s="10">
        <f>VLOOKUP(C75,courses_program1!A:C,2,0)</f>
        <v>3.6</v>
      </c>
      <c r="G75" s="10">
        <f>VLOOKUP(C75,courses_program1!A:C,3,0)</f>
        <v>3</v>
      </c>
      <c r="H75" s="2">
        <f>course_requisites!D:D</f>
        <v>1</v>
      </c>
      <c r="I75" s="2" t="str">
        <f t="shared" si="1"/>
        <v>M220M101</v>
      </c>
    </row>
    <row r="76" ht="15.75" customHeight="1">
      <c r="A76" s="2">
        <f>course_requisites!A:A</f>
        <v>46</v>
      </c>
      <c r="B76" s="2" t="str">
        <f>course_requisites!B:B</f>
        <v>M220</v>
      </c>
      <c r="C76" s="11" t="str">
        <f>course_requisites!C:C</f>
        <v>M200</v>
      </c>
      <c r="D76" s="10">
        <f>VLOOKUP(B76,courses_program1!A:C,2,0)</f>
        <v>0</v>
      </c>
      <c r="E76" s="10">
        <f>VLOOKUP(B76,courses_program1!A:C,3,0)</f>
        <v>12</v>
      </c>
      <c r="F76" s="10">
        <f>VLOOKUP(C76,courses_program1!A:C,2,0)</f>
        <v>-1.4</v>
      </c>
      <c r="G76" s="10">
        <f>VLOOKUP(C76,courses_program1!A:C,3,0)</f>
        <v>9</v>
      </c>
      <c r="H76" s="2">
        <f>course_requisites!D:D</f>
        <v>1</v>
      </c>
      <c r="I76" s="2" t="str">
        <f t="shared" si="1"/>
        <v>M220M200</v>
      </c>
    </row>
    <row r="77" ht="15.75" customHeight="1">
      <c r="A77" s="2" t="str">
        <f>course_requisites!A:A</f>
        <v/>
      </c>
      <c r="H77" s="2" t="str">
        <f>course_requisites!D:D</f>
        <v/>
      </c>
      <c r="I77" s="2" t="str">
        <f t="shared" si="1"/>
        <v/>
      </c>
    </row>
    <row r="78" ht="15.75" customHeight="1">
      <c r="A78" s="2" t="str">
        <f>course_requisites!A:A</f>
        <v/>
      </c>
      <c r="H78" s="2" t="str">
        <f>course_requisites!D:D</f>
        <v/>
      </c>
      <c r="I78" s="2" t="str">
        <f t="shared" si="1"/>
        <v/>
      </c>
    </row>
    <row r="79" ht="15.75" customHeight="1">
      <c r="A79" s="2" t="str">
        <f>course_requisites!A:A</f>
        <v/>
      </c>
      <c r="H79" s="2" t="str">
        <f>course_requisites!D:D</f>
        <v/>
      </c>
      <c r="I79" s="2" t="str">
        <f t="shared" si="1"/>
        <v/>
      </c>
    </row>
    <row r="80" ht="15.75" customHeight="1">
      <c r="A80" s="2" t="str">
        <f>course_requisites!A:A</f>
        <v/>
      </c>
      <c r="H80" s="2" t="str">
        <f>course_requisites!D:D</f>
        <v/>
      </c>
    </row>
    <row r="81" ht="15.75" customHeight="1">
      <c r="A81" s="2" t="str">
        <f>course_requisites!A:A</f>
        <v/>
      </c>
      <c r="H81" s="2" t="str">
        <f>course_requisites!D:D</f>
        <v/>
      </c>
    </row>
    <row r="82" ht="15.75" customHeight="1">
      <c r="A82" s="2" t="str">
        <f>course_requisites!A:A</f>
        <v/>
      </c>
      <c r="H82" s="2" t="str">
        <f>course_requisites!D:D</f>
        <v/>
      </c>
    </row>
    <row r="83" ht="15.75" customHeight="1">
      <c r="A83" s="2" t="str">
        <f>course_requisites!A:A</f>
        <v/>
      </c>
      <c r="H83" s="2" t="str">
        <f>course_requisites!D:D</f>
        <v/>
      </c>
    </row>
    <row r="84" ht="15.75" customHeight="1">
      <c r="A84" s="2" t="str">
        <f>course_requisites!A:A</f>
        <v/>
      </c>
      <c r="H84" s="2" t="str">
        <f>course_requisites!D:D</f>
        <v/>
      </c>
    </row>
    <row r="85" ht="15.75" customHeight="1">
      <c r="H85" s="2" t="str">
        <f>course_requisites!D:D</f>
        <v/>
      </c>
    </row>
    <row r="86" ht="15.75" customHeight="1">
      <c r="H86" s="2" t="str">
        <f>course_requisites!D:D</f>
        <v/>
      </c>
    </row>
    <row r="87" ht="15.75" customHeight="1">
      <c r="H87" s="2" t="str">
        <f>course_requisites!D:D</f>
        <v/>
      </c>
    </row>
    <row r="88" ht="15.75" customHeight="1">
      <c r="H88" s="2" t="str">
        <f>course_requisites!D:D</f>
        <v/>
      </c>
    </row>
    <row r="89" ht="15.75" customHeight="1">
      <c r="H89" s="2" t="str">
        <f>course_requisites!D:D</f>
        <v/>
      </c>
    </row>
    <row r="90" ht="15.75" customHeight="1">
      <c r="H90" s="2" t="str">
        <f>course_requisites!D:D</f>
        <v/>
      </c>
    </row>
    <row r="91" ht="15.75" customHeight="1">
      <c r="H91" s="2" t="str">
        <f>course_requisites!D:D</f>
        <v/>
      </c>
    </row>
    <row r="92" ht="15.75" customHeight="1">
      <c r="H92" s="2" t="str">
        <f>course_requisites!D:D</f>
        <v/>
      </c>
    </row>
    <row r="93" ht="15.75" customHeight="1">
      <c r="H93" s="2" t="str">
        <f>course_requisites!D:D</f>
        <v/>
      </c>
    </row>
    <row r="94" ht="15.75" customHeight="1">
      <c r="H94" s="2" t="str">
        <f>course_requisites!D:D</f>
        <v/>
      </c>
    </row>
    <row r="95" ht="15.75" customHeight="1">
      <c r="H95" s="2" t="str">
        <f>course_requisites!D:D</f>
        <v/>
      </c>
    </row>
    <row r="96" ht="15.75" customHeight="1">
      <c r="H96" s="2" t="str">
        <f>course_requisites!D:D</f>
        <v/>
      </c>
    </row>
    <row r="97" ht="15.75" customHeight="1">
      <c r="H97" s="2" t="str">
        <f>course_requisites!D:D</f>
        <v/>
      </c>
    </row>
    <row r="98" ht="15.75" customHeight="1">
      <c r="H98" s="2" t="str">
        <f>course_requisites!D:D</f>
        <v/>
      </c>
    </row>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4" width="10.71"/>
    <col customWidth="1" min="5" max="6" width="14.43"/>
  </cols>
  <sheetData>
    <row r="1">
      <c r="A1" s="1" t="s">
        <v>0</v>
      </c>
      <c r="B1" s="2" t="s">
        <v>205</v>
      </c>
      <c r="C1" s="2" t="s">
        <v>206</v>
      </c>
      <c r="D1" s="2" t="s">
        <v>207</v>
      </c>
    </row>
    <row r="2">
      <c r="A2" s="2" t="s">
        <v>6</v>
      </c>
      <c r="B2" s="3">
        <v>2.4</v>
      </c>
      <c r="C2" s="3">
        <v>6.0</v>
      </c>
      <c r="D2" s="2">
        <v>0.0</v>
      </c>
    </row>
    <row r="3">
      <c r="A3" s="2" t="s">
        <v>12</v>
      </c>
      <c r="B3" s="3">
        <v>0.0</v>
      </c>
      <c r="C3" s="3">
        <v>6.0</v>
      </c>
      <c r="D3" s="2">
        <v>1.0</v>
      </c>
    </row>
    <row r="4">
      <c r="A4" s="2" t="s">
        <v>115</v>
      </c>
      <c r="B4" s="3">
        <v>4.0</v>
      </c>
      <c r="C4" s="3">
        <v>0.0</v>
      </c>
      <c r="D4" s="2">
        <v>0.0</v>
      </c>
    </row>
    <row r="5">
      <c r="A5" s="2" t="s">
        <v>16</v>
      </c>
      <c r="B5" s="3">
        <v>4.3</v>
      </c>
      <c r="C5" s="3">
        <v>9.0</v>
      </c>
      <c r="D5" s="2">
        <v>0.0</v>
      </c>
    </row>
    <row r="6">
      <c r="A6" s="2" t="s">
        <v>20</v>
      </c>
      <c r="B6" s="3">
        <v>3.3</v>
      </c>
      <c r="C6" s="3">
        <v>12.0</v>
      </c>
      <c r="D6" s="2">
        <v>0.0</v>
      </c>
    </row>
    <row r="7">
      <c r="A7" s="2" t="s">
        <v>24</v>
      </c>
      <c r="B7" s="3">
        <v>7.1</v>
      </c>
      <c r="C7" s="3">
        <v>9.0</v>
      </c>
      <c r="D7" s="2">
        <v>1.0</v>
      </c>
    </row>
    <row r="8">
      <c r="A8" s="2" t="s">
        <v>27</v>
      </c>
      <c r="B8" s="3">
        <v>6.6</v>
      </c>
      <c r="C8" s="3">
        <v>12.0</v>
      </c>
      <c r="D8" s="2">
        <v>1.0</v>
      </c>
    </row>
    <row r="9">
      <c r="A9" s="2" t="s">
        <v>32</v>
      </c>
      <c r="B9" s="3">
        <v>5.6</v>
      </c>
      <c r="C9" s="3">
        <v>15.0</v>
      </c>
      <c r="D9" s="2">
        <v>0.0</v>
      </c>
    </row>
    <row r="10">
      <c r="A10" s="2" t="s">
        <v>36</v>
      </c>
      <c r="B10" s="3">
        <v>0.0</v>
      </c>
      <c r="C10" s="3">
        <v>21.0</v>
      </c>
      <c r="D10" s="2">
        <v>0.0</v>
      </c>
    </row>
    <row r="11">
      <c r="A11" s="2" t="s">
        <v>39</v>
      </c>
      <c r="B11" s="3">
        <v>2.0</v>
      </c>
      <c r="C11" s="3">
        <v>0.0</v>
      </c>
      <c r="D11" s="2">
        <v>1.0</v>
      </c>
    </row>
    <row r="12">
      <c r="A12" s="2" t="s">
        <v>43</v>
      </c>
      <c r="B12" s="3">
        <v>3.6</v>
      </c>
      <c r="C12" s="3">
        <v>3.0</v>
      </c>
      <c r="D12" s="2">
        <v>1.0</v>
      </c>
    </row>
    <row r="13">
      <c r="A13" s="2" t="s">
        <v>47</v>
      </c>
      <c r="B13" s="3">
        <v>-1.4</v>
      </c>
      <c r="C13" s="3">
        <v>9.0</v>
      </c>
      <c r="D13" s="2">
        <v>1.0</v>
      </c>
    </row>
    <row r="14">
      <c r="A14" s="2" t="s">
        <v>51</v>
      </c>
      <c r="B14" s="3">
        <v>1.9</v>
      </c>
      <c r="C14" s="3">
        <v>15.0</v>
      </c>
      <c r="D14" s="2">
        <v>0.0</v>
      </c>
    </row>
    <row r="15">
      <c r="A15" s="2" t="s">
        <v>54</v>
      </c>
      <c r="B15" s="3">
        <v>-3.3</v>
      </c>
      <c r="C15" s="3">
        <v>12.0</v>
      </c>
      <c r="D15" s="2">
        <v>0.0</v>
      </c>
    </row>
    <row r="16">
      <c r="A16" s="2" t="s">
        <v>122</v>
      </c>
      <c r="B16" s="3">
        <v>0.0</v>
      </c>
      <c r="C16" s="3">
        <v>12.0</v>
      </c>
      <c r="D16" s="2">
        <v>0.0</v>
      </c>
    </row>
    <row r="17">
      <c r="A17" s="2" t="s">
        <v>57</v>
      </c>
      <c r="B17" s="3">
        <v>-2.4</v>
      </c>
      <c r="C17" s="3">
        <v>6.0</v>
      </c>
      <c r="D17" s="2">
        <v>1.0</v>
      </c>
    </row>
    <row r="18">
      <c r="A18" s="2" t="s">
        <v>61</v>
      </c>
      <c r="B18" s="3">
        <v>0.0</v>
      </c>
      <c r="C18" s="3">
        <v>0.0</v>
      </c>
      <c r="D18" s="2">
        <v>1.0</v>
      </c>
    </row>
    <row r="19">
      <c r="A19" s="2" t="s">
        <v>64</v>
      </c>
      <c r="B19" s="3">
        <v>1.2</v>
      </c>
      <c r="C19" s="3">
        <v>3.0</v>
      </c>
      <c r="D19" s="2">
        <v>1.0</v>
      </c>
    </row>
    <row r="20">
      <c r="A20" s="2" t="s">
        <v>67</v>
      </c>
      <c r="B20" s="3">
        <v>1.4</v>
      </c>
      <c r="C20" s="3">
        <v>9.0</v>
      </c>
      <c r="D20" s="2">
        <v>1.0</v>
      </c>
    </row>
    <row r="21" ht="15.75" customHeight="1">
      <c r="A21" s="2" t="s">
        <v>71</v>
      </c>
      <c r="B21" s="3">
        <v>-6.6</v>
      </c>
      <c r="C21" s="3">
        <v>12.0</v>
      </c>
      <c r="D21" s="2">
        <v>1.0</v>
      </c>
    </row>
    <row r="22" ht="15.75" customHeight="1">
      <c r="A22" s="2" t="s">
        <v>74</v>
      </c>
      <c r="B22" s="3">
        <v>4.1</v>
      </c>
      <c r="C22" s="3">
        <v>18.0</v>
      </c>
      <c r="D22" s="2">
        <v>1.0</v>
      </c>
    </row>
    <row r="23" ht="15.75" customHeight="1">
      <c r="A23" s="2" t="s">
        <v>78</v>
      </c>
      <c r="B23" s="3">
        <v>-1.9</v>
      </c>
      <c r="C23" s="3">
        <v>15.0</v>
      </c>
      <c r="D23" s="2">
        <v>1.0</v>
      </c>
    </row>
    <row r="24" ht="15.75" customHeight="1">
      <c r="A24" s="2" t="s">
        <v>82</v>
      </c>
      <c r="B24" s="3">
        <v>0.0</v>
      </c>
      <c r="C24" s="3">
        <v>24.0</v>
      </c>
      <c r="D24" s="2">
        <v>1.0</v>
      </c>
    </row>
    <row r="25" ht="15.75" customHeight="1">
      <c r="A25" s="2" t="s">
        <v>86</v>
      </c>
      <c r="B25" s="3">
        <v>-4.0</v>
      </c>
      <c r="C25" s="3">
        <v>0.0</v>
      </c>
      <c r="D25" s="2">
        <v>1.0</v>
      </c>
    </row>
    <row r="26" ht="15.75" customHeight="1">
      <c r="A26" s="2" t="s">
        <v>90</v>
      </c>
      <c r="B26" s="3">
        <v>-3.6</v>
      </c>
      <c r="C26" s="3">
        <v>3.0</v>
      </c>
      <c r="D26" s="2">
        <v>0.0</v>
      </c>
    </row>
    <row r="27" ht="15.75" customHeight="1">
      <c r="A27" s="2" t="s">
        <v>94</v>
      </c>
      <c r="B27" s="3">
        <v>-2.0</v>
      </c>
      <c r="C27" s="3">
        <v>0.0</v>
      </c>
      <c r="D27" s="2">
        <v>0.0</v>
      </c>
    </row>
    <row r="28" ht="15.75" customHeight="1">
      <c r="A28" s="2" t="s">
        <v>98</v>
      </c>
      <c r="B28" s="3">
        <v>-7.1</v>
      </c>
      <c r="C28" s="3">
        <v>9.0</v>
      </c>
      <c r="D28" s="2">
        <v>0.0</v>
      </c>
    </row>
    <row r="29" ht="15.75" customHeight="1">
      <c r="A29" s="2" t="s">
        <v>102</v>
      </c>
      <c r="B29" s="3">
        <v>-1.2</v>
      </c>
      <c r="C29" s="3">
        <v>3.0</v>
      </c>
      <c r="D29" s="2">
        <v>0.0</v>
      </c>
    </row>
    <row r="30" ht="15.75" customHeight="1">
      <c r="A30" s="2" t="s">
        <v>106</v>
      </c>
      <c r="B30" s="3">
        <v>-4.3</v>
      </c>
      <c r="C30" s="3">
        <v>9.0</v>
      </c>
      <c r="D30" s="2">
        <v>0.0</v>
      </c>
    </row>
    <row r="31" ht="15.75" customHeight="1">
      <c r="A31" s="2" t="s">
        <v>119</v>
      </c>
      <c r="B31" s="3">
        <v>-5.6</v>
      </c>
      <c r="C31" s="3">
        <v>15.0</v>
      </c>
      <c r="D31" s="2">
        <v>0.0</v>
      </c>
    </row>
    <row r="32" ht="15.75" customHeight="1">
      <c r="A32" s="2" t="s">
        <v>109</v>
      </c>
      <c r="B32" s="3">
        <v>-4.1</v>
      </c>
      <c r="C32" s="3">
        <v>18.0</v>
      </c>
      <c r="D32" s="2">
        <v>1.0</v>
      </c>
    </row>
    <row r="33" ht="15.75" customHeight="1">
      <c r="A33" s="2" t="s">
        <v>112</v>
      </c>
      <c r="B33" s="3">
        <v>0.0</v>
      </c>
      <c r="C33" s="3">
        <v>18.0</v>
      </c>
      <c r="D33" s="2">
        <v>1.0</v>
      </c>
    </row>
    <row r="34" ht="15.75" customHeight="1">
      <c r="B34" s="10"/>
      <c r="C34" s="10"/>
    </row>
    <row r="35" ht="15.75" customHeight="1">
      <c r="B35" s="10"/>
      <c r="C35" s="10"/>
    </row>
    <row r="36" ht="15.75" customHeight="1">
      <c r="B36" s="10"/>
      <c r="C36" s="10"/>
    </row>
    <row r="37" ht="15.75" customHeight="1">
      <c r="B37" s="10"/>
      <c r="C37" s="10"/>
    </row>
    <row r="38" ht="15.75" customHeight="1">
      <c r="B38" s="10"/>
      <c r="C38" s="10"/>
    </row>
    <row r="39" ht="15.75" customHeight="1">
      <c r="B39" s="10"/>
      <c r="C39" s="10"/>
    </row>
    <row r="40" ht="15.75" customHeight="1">
      <c r="B40" s="10"/>
      <c r="C40" s="10"/>
    </row>
    <row r="41" ht="15.75" customHeight="1">
      <c r="B41" s="10"/>
      <c r="C41" s="10"/>
    </row>
    <row r="42" ht="15.75" customHeight="1">
      <c r="B42" s="10"/>
      <c r="C42" s="10"/>
    </row>
    <row r="43" ht="15.75" customHeight="1">
      <c r="B43" s="10"/>
      <c r="C43" s="10"/>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3.86"/>
    <col customWidth="1" min="3" max="3" width="15.0"/>
    <col customWidth="1" min="4" max="7" width="10.71"/>
    <col customWidth="1" min="8" max="8" width="16.86"/>
    <col customWidth="1" min="9" max="9" width="21.0"/>
  </cols>
  <sheetData>
    <row r="1">
      <c r="A1" s="2" t="s">
        <v>125</v>
      </c>
      <c r="B1" s="2" t="s">
        <v>0</v>
      </c>
      <c r="C1" s="11" t="s">
        <v>164</v>
      </c>
      <c r="D1" s="10" t="s">
        <v>208</v>
      </c>
      <c r="E1" s="10" t="s">
        <v>209</v>
      </c>
      <c r="F1" s="10" t="s">
        <v>210</v>
      </c>
      <c r="G1" s="10" t="s">
        <v>211</v>
      </c>
      <c r="H1" s="10" t="s">
        <v>212</v>
      </c>
      <c r="I1" s="10" t="s">
        <v>213</v>
      </c>
    </row>
    <row r="2">
      <c r="A2" s="2">
        <f>course_requisites!A:A</f>
        <v>1</v>
      </c>
      <c r="B2" s="2" t="str">
        <f>course_requisites!B:B</f>
        <v>S200</v>
      </c>
      <c r="C2" s="11" t="str">
        <f>course_requisites!C:C</f>
        <v>M100</v>
      </c>
      <c r="D2" s="10">
        <f>VLOOKUP(B2,courses_program1!A:C,2,0)</f>
        <v>2.4</v>
      </c>
      <c r="E2" s="10">
        <f>VLOOKUP(B2,courses_program1!A:C,3,0)</f>
        <v>6</v>
      </c>
      <c r="F2" s="10">
        <f>VLOOKUP(C2,courses_program1!A:C,2,0)</f>
        <v>2</v>
      </c>
      <c r="G2" s="10">
        <f>VLOOKUP(C2,courses_program1!A:C,3,0)</f>
        <v>0</v>
      </c>
      <c r="H2" s="2">
        <f>course_requisites!D:D</f>
        <v>1</v>
      </c>
      <c r="I2" s="2" t="str">
        <f t="shared" ref="I2:I79" si="1">CONCAT(B2, C2)</f>
        <v>S200M100</v>
      </c>
    </row>
    <row r="3">
      <c r="A3" s="2">
        <f>course_requisites!A:A</f>
        <v>2</v>
      </c>
      <c r="B3" s="2" t="str">
        <f>course_requisites!B:B</f>
        <v>S201</v>
      </c>
      <c r="C3" s="11" t="str">
        <f>course_requisites!C:C</f>
        <v>D100</v>
      </c>
      <c r="D3" s="10">
        <f>VLOOKUP(B3,courses_program1!A:C,2,0)</f>
        <v>0</v>
      </c>
      <c r="E3" s="10">
        <f>VLOOKUP(B3,courses_program1!A:C,3,0)</f>
        <v>6</v>
      </c>
      <c r="F3" s="10">
        <f>VLOOKUP(C3,courses_program1!A:C,2,0)</f>
        <v>0</v>
      </c>
      <c r="G3" s="10">
        <f>VLOOKUP(C3,courses_program1!A:C,3,0)</f>
        <v>0</v>
      </c>
      <c r="H3" s="2">
        <f>course_requisites!D:D</f>
        <v>1</v>
      </c>
      <c r="I3" s="2" t="str">
        <f t="shared" si="1"/>
        <v>S201D100</v>
      </c>
    </row>
    <row r="4">
      <c r="A4" s="2">
        <f>course_requisites!A:A</f>
        <v>3</v>
      </c>
      <c r="B4" s="2" t="str">
        <f>course_requisites!B:B</f>
        <v>S251</v>
      </c>
      <c r="C4" s="11" t="str">
        <f>course_requisites!C:C</f>
        <v>M101</v>
      </c>
      <c r="D4" s="10">
        <f>VLOOKUP(B4,courses_program1!A:C,2,0)</f>
        <v>4.3</v>
      </c>
      <c r="E4" s="10">
        <f>VLOOKUP(B4,courses_program1!A:C,3,0)</f>
        <v>9</v>
      </c>
      <c r="F4" s="10">
        <f>VLOOKUP(C4,courses_program1!A:C,2,0)</f>
        <v>3.6</v>
      </c>
      <c r="G4" s="10">
        <f>VLOOKUP(C4,courses_program1!A:C,3,0)</f>
        <v>3</v>
      </c>
      <c r="H4" s="2">
        <f>course_requisites!D:D</f>
        <v>1</v>
      </c>
      <c r="I4" s="2" t="str">
        <f t="shared" si="1"/>
        <v>S251M101</v>
      </c>
    </row>
    <row r="5">
      <c r="A5" s="2">
        <f>course_requisites!A:A</f>
        <v>4</v>
      </c>
      <c r="B5" s="2" t="str">
        <f>course_requisites!B:B</f>
        <v>S300</v>
      </c>
      <c r="C5" s="11" t="str">
        <f>course_requisites!C:C</f>
        <v>S200</v>
      </c>
      <c r="D5" s="10">
        <f>VLOOKUP(B5,courses_program1!A:C,2,0)</f>
        <v>3.3</v>
      </c>
      <c r="E5" s="10">
        <f>VLOOKUP(B5,courses_program1!A:C,3,0)</f>
        <v>12</v>
      </c>
      <c r="F5" s="10">
        <f>VLOOKUP(C5,courses_program1!A:C,2,0)</f>
        <v>2.4</v>
      </c>
      <c r="G5" s="10">
        <f>VLOOKUP(C5,courses_program1!A:C,3,0)</f>
        <v>6</v>
      </c>
      <c r="H5" s="2">
        <f>course_requisites!D:D</f>
        <v>1</v>
      </c>
      <c r="I5" s="2" t="str">
        <f t="shared" si="1"/>
        <v>S300S200</v>
      </c>
    </row>
    <row r="6">
      <c r="A6" s="2">
        <f>course_requisites!A:A</f>
        <v>4</v>
      </c>
      <c r="B6" s="2" t="str">
        <f>course_requisites!B:B</f>
        <v>S300</v>
      </c>
      <c r="C6" s="11" t="str">
        <f>course_requisites!C:C</f>
        <v>S203</v>
      </c>
      <c r="D6" s="10">
        <f>VLOOKUP(B6,courses_program1!A:C,2,0)</f>
        <v>3.3</v>
      </c>
      <c r="E6" s="10">
        <f>VLOOKUP(B6,courses_program1!A:C,3,0)</f>
        <v>12</v>
      </c>
      <c r="F6" s="10">
        <f>VLOOKUP(C6,courses_program1!A:C,2,0)</f>
        <v>4</v>
      </c>
      <c r="G6" s="10">
        <f>VLOOKUP(C6,courses_program1!A:C,3,0)</f>
        <v>0</v>
      </c>
      <c r="H6" s="2">
        <f>course_requisites!D:D</f>
        <v>0</v>
      </c>
      <c r="I6" s="2" t="str">
        <f t="shared" si="1"/>
        <v>S300S203</v>
      </c>
    </row>
    <row r="7">
      <c r="A7" s="2">
        <f>course_requisites!A:A</f>
        <v>4</v>
      </c>
      <c r="B7" s="2" t="str">
        <f>course_requisites!B:B</f>
        <v>S300</v>
      </c>
      <c r="C7" s="11" t="str">
        <f>course_requisites!C:C</f>
        <v>S251</v>
      </c>
      <c r="D7" s="10">
        <f>VLOOKUP(B7,courses_program1!A:C,2,0)</f>
        <v>3.3</v>
      </c>
      <c r="E7" s="10">
        <f>VLOOKUP(B7,courses_program1!A:C,3,0)</f>
        <v>12</v>
      </c>
      <c r="F7" s="10">
        <f>VLOOKUP(C7,courses_program1!A:C,2,0)</f>
        <v>4.3</v>
      </c>
      <c r="G7" s="10">
        <f>VLOOKUP(C7,courses_program1!A:C,3,0)</f>
        <v>9</v>
      </c>
      <c r="H7" s="2">
        <f>course_requisites!D:D</f>
        <v>0</v>
      </c>
      <c r="I7" s="2" t="str">
        <f t="shared" si="1"/>
        <v>S300S251</v>
      </c>
    </row>
    <row r="8">
      <c r="A8" s="2">
        <f>course_requisites!A:A</f>
        <v>5</v>
      </c>
      <c r="B8" s="2" t="str">
        <f>course_requisites!B:B</f>
        <v>S301</v>
      </c>
      <c r="C8" s="11" t="str">
        <f>course_requisites!C:C</f>
        <v>S201</v>
      </c>
      <c r="D8" s="10">
        <f>VLOOKUP(B8,courses_program1!A:C,2,0)</f>
        <v>7.1</v>
      </c>
      <c r="E8" s="10">
        <f>VLOOKUP(B8,courses_program1!A:C,3,0)</f>
        <v>9</v>
      </c>
      <c r="F8" s="10">
        <f>VLOOKUP(C8,courses_program1!A:C,2,0)</f>
        <v>0</v>
      </c>
      <c r="G8" s="10">
        <f>VLOOKUP(C8,courses_program1!A:C,3,0)</f>
        <v>6</v>
      </c>
      <c r="H8" s="2">
        <f>course_requisites!D:D</f>
        <v>1</v>
      </c>
      <c r="I8" s="2" t="str">
        <f t="shared" si="1"/>
        <v>S301S201</v>
      </c>
    </row>
    <row r="9">
      <c r="A9" s="2">
        <f>course_requisites!A:A</f>
        <v>6</v>
      </c>
      <c r="B9" s="2" t="str">
        <f>course_requisites!B:B</f>
        <v>S301</v>
      </c>
      <c r="C9" s="11" t="str">
        <f>course_requisites!C:C</f>
        <v>M100</v>
      </c>
      <c r="D9" s="10">
        <f>VLOOKUP(B9,courses_program1!A:C,2,0)</f>
        <v>7.1</v>
      </c>
      <c r="E9" s="10">
        <f>VLOOKUP(B9,courses_program1!A:C,3,0)</f>
        <v>9</v>
      </c>
      <c r="F9" s="10">
        <f>VLOOKUP(C9,courses_program1!A:C,2,0)</f>
        <v>2</v>
      </c>
      <c r="G9" s="10">
        <f>VLOOKUP(C9,courses_program1!A:C,3,0)</f>
        <v>0</v>
      </c>
      <c r="H9" s="2">
        <f>course_requisites!D:D</f>
        <v>1</v>
      </c>
      <c r="I9" s="2" t="str">
        <f t="shared" si="1"/>
        <v>S301M100</v>
      </c>
    </row>
    <row r="10">
      <c r="A10" s="2">
        <f>course_requisites!A:A</f>
        <v>7</v>
      </c>
      <c r="B10" s="2" t="str">
        <f>course_requisites!B:B</f>
        <v>S302</v>
      </c>
      <c r="C10" s="11" t="str">
        <f>course_requisites!C:C</f>
        <v>M200</v>
      </c>
      <c r="D10" s="10">
        <f>VLOOKUP(B10,courses_program1!A:C,2,0)</f>
        <v>6.6</v>
      </c>
      <c r="E10" s="10">
        <f>VLOOKUP(B10,courses_program1!A:C,3,0)</f>
        <v>12</v>
      </c>
      <c r="F10" s="10">
        <f>VLOOKUP(C10,courses_program1!A:C,2,0)</f>
        <v>-1.4</v>
      </c>
      <c r="G10" s="10">
        <f>VLOOKUP(C10,courses_program1!A:C,3,0)</f>
        <v>9</v>
      </c>
      <c r="H10" s="2">
        <f>course_requisites!D:D</f>
        <v>1</v>
      </c>
      <c r="I10" s="2" t="str">
        <f t="shared" si="1"/>
        <v>S302M200</v>
      </c>
    </row>
    <row r="11">
      <c r="A11" s="2">
        <f>course_requisites!A:A</f>
        <v>8</v>
      </c>
      <c r="B11" s="2" t="str">
        <f>course_requisites!B:B</f>
        <v>S306</v>
      </c>
      <c r="C11" s="11" t="str">
        <f>course_requisites!C:C</f>
        <v>M221</v>
      </c>
      <c r="D11" s="10">
        <f>VLOOKUP(B11,courses_program1!A:C,2,0)</f>
        <v>5.6</v>
      </c>
      <c r="E11" s="10">
        <f>VLOOKUP(B11,courses_program1!A:C,3,0)</f>
        <v>15</v>
      </c>
      <c r="F11" s="10">
        <f>VLOOKUP(C11,courses_program1!A:C,2,0)</f>
        <v>-2.4</v>
      </c>
      <c r="G11" s="10">
        <f>VLOOKUP(C11,courses_program1!A:C,3,0)</f>
        <v>6</v>
      </c>
      <c r="H11" s="2">
        <f>course_requisites!D:D</f>
        <v>1</v>
      </c>
      <c r="I11" s="2" t="str">
        <f t="shared" si="1"/>
        <v>S306M221</v>
      </c>
    </row>
    <row r="12">
      <c r="A12" s="2">
        <f>course_requisites!A:A</f>
        <v>9</v>
      </c>
      <c r="B12" s="2" t="str">
        <f>course_requisites!B:B</f>
        <v>S306</v>
      </c>
      <c r="C12" s="11" t="str">
        <f>course_requisites!C:C</f>
        <v>S200</v>
      </c>
      <c r="D12" s="10">
        <f>VLOOKUP(B12,courses_program1!A:C,2,0)</f>
        <v>5.6</v>
      </c>
      <c r="E12" s="10">
        <f>VLOOKUP(B12,courses_program1!A:C,3,0)</f>
        <v>15</v>
      </c>
      <c r="F12" s="10">
        <f>VLOOKUP(C12,courses_program1!A:C,2,0)</f>
        <v>2.4</v>
      </c>
      <c r="G12" s="10">
        <f>VLOOKUP(C12,courses_program1!A:C,3,0)</f>
        <v>6</v>
      </c>
      <c r="H12" s="2">
        <f>course_requisites!D:D</f>
        <v>1</v>
      </c>
      <c r="I12" s="2" t="str">
        <f t="shared" si="1"/>
        <v>S306S200</v>
      </c>
    </row>
    <row r="13">
      <c r="A13" s="2">
        <f>course_requisites!A:A</f>
        <v>9</v>
      </c>
      <c r="B13" s="2" t="str">
        <f>course_requisites!B:B</f>
        <v>S306</v>
      </c>
      <c r="C13" s="11" t="str">
        <f>course_requisites!C:C</f>
        <v>S251</v>
      </c>
      <c r="D13" s="10">
        <f>VLOOKUP(B13,courses_program1!A:C,2,0)</f>
        <v>5.6</v>
      </c>
      <c r="E13" s="10">
        <f>VLOOKUP(B13,courses_program1!A:C,3,0)</f>
        <v>15</v>
      </c>
      <c r="F13" s="10">
        <f>VLOOKUP(C13,courses_program1!A:C,2,0)</f>
        <v>4.3</v>
      </c>
      <c r="G13" s="10">
        <f>VLOOKUP(C13,courses_program1!A:C,3,0)</f>
        <v>9</v>
      </c>
      <c r="H13" s="2">
        <f>course_requisites!D:D</f>
        <v>0</v>
      </c>
      <c r="I13" s="2" t="str">
        <f t="shared" si="1"/>
        <v>S306S251</v>
      </c>
    </row>
    <row r="14">
      <c r="A14" s="2">
        <f>course_requisites!A:A</f>
        <v>9</v>
      </c>
      <c r="B14" s="2" t="str">
        <f>course_requisites!B:B</f>
        <v>S306</v>
      </c>
      <c r="C14" s="11" t="str">
        <f>course_requisites!C:C</f>
        <v>S300</v>
      </c>
      <c r="D14" s="10">
        <f>VLOOKUP(B14,courses_program1!A:C,2,0)</f>
        <v>5.6</v>
      </c>
      <c r="E14" s="10">
        <f>VLOOKUP(B14,courses_program1!A:C,3,0)</f>
        <v>15</v>
      </c>
      <c r="F14" s="10">
        <f>VLOOKUP(C14,courses_program1!A:C,2,0)</f>
        <v>3.3</v>
      </c>
      <c r="G14" s="10">
        <f>VLOOKUP(C14,courses_program1!A:C,3,0)</f>
        <v>12</v>
      </c>
      <c r="H14" s="2">
        <f>course_requisites!D:D</f>
        <v>0</v>
      </c>
      <c r="I14" s="2" t="str">
        <f t="shared" si="1"/>
        <v>S306S300</v>
      </c>
    </row>
    <row r="15">
      <c r="A15" s="2">
        <f>course_requisites!A:A</f>
        <v>10</v>
      </c>
      <c r="B15" s="2" t="str">
        <f>course_requisites!B:B</f>
        <v>S306</v>
      </c>
      <c r="C15" s="11" t="str">
        <f>course_requisites!C:C</f>
        <v>S302</v>
      </c>
      <c r="D15" s="10">
        <f>VLOOKUP(B15,courses_program1!A:C,2,0)</f>
        <v>5.6</v>
      </c>
      <c r="E15" s="10">
        <f>VLOOKUP(B15,courses_program1!A:C,3,0)</f>
        <v>15</v>
      </c>
      <c r="F15" s="10">
        <f>VLOOKUP(C15,courses_program1!A:C,2,0)</f>
        <v>6.6</v>
      </c>
      <c r="G15" s="10">
        <f>VLOOKUP(C15,courses_program1!A:C,3,0)</f>
        <v>12</v>
      </c>
      <c r="H15" s="2">
        <f>course_requisites!D:D</f>
        <v>1</v>
      </c>
      <c r="I15" s="2" t="str">
        <f t="shared" si="1"/>
        <v>S306S302</v>
      </c>
    </row>
    <row r="16">
      <c r="A16" s="2">
        <f>course_requisites!A:A</f>
        <v>11</v>
      </c>
      <c r="B16" s="2" t="str">
        <f>course_requisites!B:B</f>
        <v>S406</v>
      </c>
      <c r="C16" s="11" t="str">
        <f>course_requisites!C:C</f>
        <v>S306</v>
      </c>
      <c r="D16" s="10">
        <f>VLOOKUP(B16,courses_program1!A:C,2,0)</f>
        <v>0</v>
      </c>
      <c r="E16" s="10">
        <f>VLOOKUP(B16,courses_program1!A:C,3,0)</f>
        <v>21</v>
      </c>
      <c r="F16" s="10">
        <f>VLOOKUP(C16,courses_program1!A:C,2,0)</f>
        <v>5.6</v>
      </c>
      <c r="G16" s="10">
        <f>VLOOKUP(C16,courses_program1!A:C,3,0)</f>
        <v>15</v>
      </c>
      <c r="H16" s="2">
        <f>course_requisites!D:D</f>
        <v>1</v>
      </c>
      <c r="I16" s="2" t="str">
        <f t="shared" si="1"/>
        <v>S406S306</v>
      </c>
    </row>
    <row r="17">
      <c r="A17" s="2">
        <f>course_requisites!A:A</f>
        <v>11</v>
      </c>
      <c r="B17" s="2" t="str">
        <f>course_requisites!B:B</f>
        <v>S406</v>
      </c>
      <c r="C17" s="11" t="str">
        <f>course_requisites!C:C</f>
        <v>C340</v>
      </c>
      <c r="D17" s="10">
        <f>VLOOKUP(B17,courses_program1!A:C,2,0)</f>
        <v>0</v>
      </c>
      <c r="E17" s="10">
        <f>VLOOKUP(B17,courses_program1!A:C,3,0)</f>
        <v>21</v>
      </c>
      <c r="F17" s="10">
        <f>VLOOKUP(C17,courses_program1!A:C,2,0)</f>
        <v>0</v>
      </c>
      <c r="G17" s="10">
        <f>VLOOKUP(C17,courses_program1!A:C,3,0)</f>
        <v>18</v>
      </c>
      <c r="H17" s="2">
        <f>course_requisites!D:D</f>
        <v>0</v>
      </c>
      <c r="I17" s="2" t="str">
        <f t="shared" si="1"/>
        <v>S406C340</v>
      </c>
    </row>
    <row r="18">
      <c r="A18" s="2">
        <f>course_requisites!A:A</f>
        <v>11</v>
      </c>
      <c r="B18" s="2" t="str">
        <f>course_requisites!B:B</f>
        <v>S406</v>
      </c>
      <c r="C18" s="11" t="str">
        <f>course_requisites!C:C</f>
        <v>S301</v>
      </c>
      <c r="D18" s="10">
        <f>VLOOKUP(B18,courses_program1!A:C,2,0)</f>
        <v>0</v>
      </c>
      <c r="E18" s="10">
        <f>VLOOKUP(B18,courses_program1!A:C,3,0)</f>
        <v>21</v>
      </c>
      <c r="F18" s="10">
        <f>VLOOKUP(C18,courses_program1!A:C,2,0)</f>
        <v>7.1</v>
      </c>
      <c r="G18" s="10">
        <f>VLOOKUP(C18,courses_program1!A:C,3,0)</f>
        <v>9</v>
      </c>
      <c r="H18" s="2">
        <f>course_requisites!D:D</f>
        <v>0</v>
      </c>
      <c r="I18" s="2" t="str">
        <f t="shared" si="1"/>
        <v>S406S301</v>
      </c>
    </row>
    <row r="19">
      <c r="A19" s="2">
        <f>course_requisites!A:A</f>
        <v>11</v>
      </c>
      <c r="B19" s="2" t="str">
        <f>course_requisites!B:B</f>
        <v>S406</v>
      </c>
      <c r="C19" s="11" t="str">
        <f>course_requisites!C:C</f>
        <v>M221</v>
      </c>
      <c r="D19" s="10">
        <f>VLOOKUP(B19,courses_program1!A:C,2,0)</f>
        <v>0</v>
      </c>
      <c r="E19" s="10">
        <f>VLOOKUP(B19,courses_program1!A:C,3,0)</f>
        <v>21</v>
      </c>
      <c r="F19" s="10">
        <f>VLOOKUP(C19,courses_program1!A:C,2,0)</f>
        <v>-2.4</v>
      </c>
      <c r="G19" s="10">
        <f>VLOOKUP(C19,courses_program1!A:C,3,0)</f>
        <v>6</v>
      </c>
      <c r="H19" s="2">
        <f>course_requisites!D:D</f>
        <v>0</v>
      </c>
      <c r="I19" s="2" t="str">
        <f t="shared" si="1"/>
        <v>S406M221</v>
      </c>
    </row>
    <row r="20">
      <c r="A20" s="2">
        <f>course_requisites!A:A</f>
        <v>11</v>
      </c>
      <c r="B20" s="2" t="str">
        <f>course_requisites!B:B</f>
        <v>S406</v>
      </c>
      <c r="C20" s="11" t="str">
        <f>course_requisites!C:C</f>
        <v>S302</v>
      </c>
      <c r="D20" s="10">
        <f>VLOOKUP(B20,courses_program1!A:C,2,0)</f>
        <v>0</v>
      </c>
      <c r="E20" s="10">
        <f>VLOOKUP(B20,courses_program1!A:C,3,0)</f>
        <v>21</v>
      </c>
      <c r="F20" s="10">
        <f>VLOOKUP(C20,courses_program1!A:C,2,0)</f>
        <v>6.6</v>
      </c>
      <c r="G20" s="10">
        <f>VLOOKUP(C20,courses_program1!A:C,3,0)</f>
        <v>12</v>
      </c>
      <c r="H20" s="2">
        <f>course_requisites!D:D</f>
        <v>0</v>
      </c>
      <c r="I20" s="2" t="str">
        <f t="shared" si="1"/>
        <v>S406S302</v>
      </c>
    </row>
    <row r="21" ht="15.75" customHeight="1">
      <c r="A21" s="2">
        <f>course_requisites!A:A</f>
        <v>13</v>
      </c>
      <c r="B21" s="2" t="str">
        <f>course_requisites!B:B</f>
        <v>M101</v>
      </c>
      <c r="C21" s="11" t="str">
        <f>course_requisites!C:C</f>
        <v>M100</v>
      </c>
      <c r="D21" s="10">
        <f>VLOOKUP(B21,courses_program1!A:C,2,0)</f>
        <v>3.6</v>
      </c>
      <c r="E21" s="10">
        <f>VLOOKUP(B21,courses_program1!A:C,3,0)</f>
        <v>3</v>
      </c>
      <c r="F21" s="10">
        <f>VLOOKUP(C21,courses_program1!A:C,2,0)</f>
        <v>2</v>
      </c>
      <c r="G21" s="10">
        <f>VLOOKUP(C21,courses_program1!A:C,3,0)</f>
        <v>0</v>
      </c>
      <c r="H21" s="2">
        <f>course_requisites!D:D</f>
        <v>1</v>
      </c>
      <c r="I21" s="2" t="str">
        <f t="shared" si="1"/>
        <v>M101M100</v>
      </c>
    </row>
    <row r="22" ht="15.75" customHeight="1">
      <c r="A22" s="2">
        <f>course_requisites!A:A</f>
        <v>14</v>
      </c>
      <c r="B22" s="2" t="str">
        <f>course_requisites!B:B</f>
        <v>M200</v>
      </c>
      <c r="C22" s="11" t="str">
        <f>course_requisites!C:C</f>
        <v>M101</v>
      </c>
      <c r="D22" s="10">
        <f>VLOOKUP(B22,courses_program1!A:C,2,0)</f>
        <v>-1.4</v>
      </c>
      <c r="E22" s="10">
        <f>VLOOKUP(B22,courses_program1!A:C,3,0)</f>
        <v>9</v>
      </c>
      <c r="F22" s="10">
        <f>VLOOKUP(C22,courses_program1!A:C,2,0)</f>
        <v>3.6</v>
      </c>
      <c r="G22" s="10">
        <f>VLOOKUP(C22,courses_program1!A:C,3,0)</f>
        <v>3</v>
      </c>
      <c r="H22" s="2">
        <f>course_requisites!D:D</f>
        <v>1</v>
      </c>
      <c r="I22" s="2" t="str">
        <f t="shared" si="1"/>
        <v>M200M101</v>
      </c>
    </row>
    <row r="23" ht="15.75" customHeight="1">
      <c r="A23" s="2">
        <f>course_requisites!A:A</f>
        <v>15</v>
      </c>
      <c r="B23" s="2" t="str">
        <f>course_requisites!B:B</f>
        <v>M210</v>
      </c>
      <c r="C23" s="11" t="str">
        <f>course_requisites!C:C</f>
        <v>M101</v>
      </c>
      <c r="D23" s="10">
        <f>VLOOKUP(B23,courses_program1!A:C,2,0)</f>
        <v>1.9</v>
      </c>
      <c r="E23" s="10">
        <f>VLOOKUP(B23,courses_program1!A:C,3,0)</f>
        <v>15</v>
      </c>
      <c r="F23" s="10">
        <f>VLOOKUP(C23,courses_program1!A:C,2,0)</f>
        <v>3.6</v>
      </c>
      <c r="G23" s="10">
        <f>VLOOKUP(C23,courses_program1!A:C,3,0)</f>
        <v>3</v>
      </c>
      <c r="H23" s="2">
        <f>course_requisites!D:D</f>
        <v>1</v>
      </c>
      <c r="I23" s="2" t="str">
        <f t="shared" si="1"/>
        <v>M210M101</v>
      </c>
    </row>
    <row r="24" ht="15.75" customHeight="1">
      <c r="A24" s="2">
        <f>course_requisites!A:A</f>
        <v>16</v>
      </c>
      <c r="B24" s="2" t="str">
        <f>course_requisites!B:B</f>
        <v>M210</v>
      </c>
      <c r="C24" s="11" t="str">
        <f>course_requisites!C:C</f>
        <v>M215</v>
      </c>
      <c r="D24" s="10">
        <f>VLOOKUP(B24,courses_program1!A:C,2,0)</f>
        <v>1.9</v>
      </c>
      <c r="E24" s="10">
        <f>VLOOKUP(B24,courses_program1!A:C,3,0)</f>
        <v>15</v>
      </c>
      <c r="F24" s="10">
        <f>VLOOKUP(C24,courses_program1!A:C,2,0)</f>
        <v>-3.3</v>
      </c>
      <c r="G24" s="10">
        <f>VLOOKUP(C24,courses_program1!A:C,3,0)</f>
        <v>12</v>
      </c>
      <c r="H24" s="2">
        <f>course_requisites!D:D</f>
        <v>1</v>
      </c>
      <c r="I24" s="2" t="str">
        <f t="shared" si="1"/>
        <v>M210M215</v>
      </c>
    </row>
    <row r="25" ht="15.75" customHeight="1">
      <c r="A25" s="2">
        <f>course_requisites!A:A</f>
        <v>17</v>
      </c>
      <c r="B25" s="2" t="str">
        <f>course_requisites!B:B</f>
        <v>M210</v>
      </c>
      <c r="C25" s="11" t="str">
        <f>course_requisites!C:C</f>
        <v>M221</v>
      </c>
      <c r="D25" s="10">
        <f>VLOOKUP(B25,courses_program1!A:C,2,0)</f>
        <v>1.9</v>
      </c>
      <c r="E25" s="10">
        <f>VLOOKUP(B25,courses_program1!A:C,3,0)</f>
        <v>15</v>
      </c>
      <c r="F25" s="10">
        <f>VLOOKUP(C25,courses_program1!A:C,2,0)</f>
        <v>-2.4</v>
      </c>
      <c r="G25" s="10">
        <f>VLOOKUP(C25,courses_program1!A:C,3,0)</f>
        <v>6</v>
      </c>
      <c r="H25" s="2">
        <f>course_requisites!D:D</f>
        <v>1</v>
      </c>
      <c r="I25" s="2" t="str">
        <f t="shared" si="1"/>
        <v>M210M221</v>
      </c>
    </row>
    <row r="26" ht="15.75" customHeight="1">
      <c r="A26" s="2">
        <f>course_requisites!A:A</f>
        <v>18</v>
      </c>
      <c r="B26" s="2" t="str">
        <f>course_requisites!B:B</f>
        <v>M215</v>
      </c>
      <c r="C26" s="11" t="str">
        <f>course_requisites!C:C</f>
        <v>M101</v>
      </c>
      <c r="D26" s="10">
        <f>VLOOKUP(B26,courses_program1!A:C,2,0)</f>
        <v>-3.3</v>
      </c>
      <c r="E26" s="10">
        <f>VLOOKUP(B26,courses_program1!A:C,3,0)</f>
        <v>12</v>
      </c>
      <c r="F26" s="10">
        <f>VLOOKUP(C26,courses_program1!A:C,2,0)</f>
        <v>3.6</v>
      </c>
      <c r="G26" s="10">
        <f>VLOOKUP(C26,courses_program1!A:C,3,0)</f>
        <v>3</v>
      </c>
      <c r="H26" s="2">
        <f>course_requisites!D:D</f>
        <v>1</v>
      </c>
      <c r="I26" s="2" t="str">
        <f t="shared" si="1"/>
        <v>M215M101</v>
      </c>
    </row>
    <row r="27" ht="15.75" customHeight="1">
      <c r="A27" s="2">
        <f>course_requisites!A:A</f>
        <v>19</v>
      </c>
      <c r="B27" s="2" t="str">
        <f>course_requisites!B:B</f>
        <v>M215</v>
      </c>
      <c r="C27" s="11" t="str">
        <f>course_requisites!C:C</f>
        <v>M221</v>
      </c>
      <c r="D27" s="10">
        <f>VLOOKUP(B27,courses_program1!A:C,2,0)</f>
        <v>-3.3</v>
      </c>
      <c r="E27" s="10">
        <f>VLOOKUP(B27,courses_program1!A:C,3,0)</f>
        <v>12</v>
      </c>
      <c r="F27" s="10">
        <f>VLOOKUP(C27,courses_program1!A:C,2,0)</f>
        <v>-2.4</v>
      </c>
      <c r="G27" s="10">
        <f>VLOOKUP(C27,courses_program1!A:C,3,0)</f>
        <v>6</v>
      </c>
      <c r="H27" s="2">
        <f>course_requisites!D:D</f>
        <v>1</v>
      </c>
      <c r="I27" s="2" t="str">
        <f t="shared" si="1"/>
        <v>M215M221</v>
      </c>
    </row>
    <row r="28" ht="15.75" customHeight="1">
      <c r="A28" s="2">
        <f>course_requisites!A:A</f>
        <v>20</v>
      </c>
      <c r="B28" s="2" t="str">
        <f>course_requisites!B:B</f>
        <v>M215</v>
      </c>
      <c r="C28" s="11" t="str">
        <f>course_requisites!C:C</f>
        <v>M200</v>
      </c>
      <c r="D28" s="10">
        <f>VLOOKUP(B28,courses_program1!A:C,2,0)</f>
        <v>-3.3</v>
      </c>
      <c r="E28" s="10">
        <f>VLOOKUP(B28,courses_program1!A:C,3,0)</f>
        <v>12</v>
      </c>
      <c r="F28" s="10">
        <f>VLOOKUP(C28,courses_program1!A:C,2,0)</f>
        <v>-1.4</v>
      </c>
      <c r="G28" s="10">
        <f>VLOOKUP(C28,courses_program1!A:C,3,0)</f>
        <v>9</v>
      </c>
      <c r="H28" s="2">
        <f>course_requisites!D:D</f>
        <v>1</v>
      </c>
      <c r="I28" s="2" t="str">
        <f t="shared" si="1"/>
        <v>M215M200</v>
      </c>
    </row>
    <row r="29" ht="15.75" customHeight="1">
      <c r="A29" s="2">
        <f>course_requisites!A:A</f>
        <v>21</v>
      </c>
      <c r="B29" s="2" t="str">
        <f>course_requisites!B:B</f>
        <v>M221</v>
      </c>
      <c r="C29" s="11" t="str">
        <f>course_requisites!C:C</f>
        <v>M100</v>
      </c>
      <c r="D29" s="10">
        <f>VLOOKUP(B29,courses_program1!A:C,2,0)</f>
        <v>-2.4</v>
      </c>
      <c r="E29" s="10">
        <f>VLOOKUP(B29,courses_program1!A:C,3,0)</f>
        <v>6</v>
      </c>
      <c r="F29" s="10">
        <f>VLOOKUP(C29,courses_program1!A:C,2,0)</f>
        <v>2</v>
      </c>
      <c r="G29" s="10">
        <f>VLOOKUP(C29,courses_program1!A:C,3,0)</f>
        <v>0</v>
      </c>
      <c r="H29" s="2">
        <f>course_requisites!D:D</f>
        <v>1</v>
      </c>
      <c r="I29" s="2" t="str">
        <f t="shared" si="1"/>
        <v>M221M100</v>
      </c>
    </row>
    <row r="30" ht="15.75" customHeight="1">
      <c r="A30" s="2">
        <f>course_requisites!A:A</f>
        <v>23</v>
      </c>
      <c r="B30" s="2" t="str">
        <f>course_requisites!B:B</f>
        <v>D200</v>
      </c>
      <c r="C30" s="11" t="str">
        <f>course_requisites!C:C</f>
        <v>D100</v>
      </c>
      <c r="D30" s="10">
        <f>VLOOKUP(B30,courses_program1!A:C,2,0)</f>
        <v>1.2</v>
      </c>
      <c r="E30" s="10">
        <f>VLOOKUP(B30,courses_program1!A:C,3,0)</f>
        <v>3</v>
      </c>
      <c r="F30" s="10">
        <f>VLOOKUP(C30,courses_program1!A:C,2,0)</f>
        <v>0</v>
      </c>
      <c r="G30" s="10">
        <f>VLOOKUP(C30,courses_program1!A:C,3,0)</f>
        <v>0</v>
      </c>
      <c r="H30" s="2">
        <f>course_requisites!D:D</f>
        <v>1</v>
      </c>
      <c r="I30" s="2" t="str">
        <f t="shared" si="1"/>
        <v>D200D100</v>
      </c>
    </row>
    <row r="31" ht="15.75" customHeight="1">
      <c r="A31" s="2">
        <f>course_requisites!A:A</f>
        <v>24</v>
      </c>
      <c r="B31" s="2" t="str">
        <f>course_requisites!B:B</f>
        <v>D220</v>
      </c>
      <c r="C31" s="11" t="str">
        <f>course_requisites!C:C</f>
        <v>M100</v>
      </c>
      <c r="D31" s="10">
        <f>VLOOKUP(B31,courses_program1!A:C,2,0)</f>
        <v>1.4</v>
      </c>
      <c r="E31" s="10">
        <f>VLOOKUP(B31,courses_program1!A:C,3,0)</f>
        <v>9</v>
      </c>
      <c r="F31" s="10">
        <f>VLOOKUP(C31,courses_program1!A:C,2,0)</f>
        <v>2</v>
      </c>
      <c r="G31" s="10">
        <f>VLOOKUP(C31,courses_program1!A:C,3,0)</f>
        <v>0</v>
      </c>
      <c r="H31" s="2">
        <f>course_requisites!D:D</f>
        <v>1</v>
      </c>
      <c r="I31" s="2" t="str">
        <f t="shared" si="1"/>
        <v>D220M100</v>
      </c>
    </row>
    <row r="32" ht="15.75" customHeight="1">
      <c r="A32" s="2">
        <f>course_requisites!A:A</f>
        <v>25</v>
      </c>
      <c r="B32" s="2" t="str">
        <f>course_requisites!B:B</f>
        <v>D220</v>
      </c>
      <c r="C32" s="11" t="str">
        <f>course_requisites!C:C</f>
        <v>D100</v>
      </c>
      <c r="D32" s="10">
        <f>VLOOKUP(B32,courses_program1!A:C,2,0)</f>
        <v>1.4</v>
      </c>
      <c r="E32" s="10">
        <f>VLOOKUP(B32,courses_program1!A:C,3,0)</f>
        <v>9</v>
      </c>
      <c r="F32" s="10">
        <f>VLOOKUP(C32,courses_program1!A:C,2,0)</f>
        <v>0</v>
      </c>
      <c r="G32" s="10">
        <f>VLOOKUP(C32,courses_program1!A:C,3,0)</f>
        <v>0</v>
      </c>
      <c r="H32" s="2">
        <f>course_requisites!D:D</f>
        <v>1</v>
      </c>
      <c r="I32" s="2" t="str">
        <f t="shared" si="1"/>
        <v>D220D100</v>
      </c>
    </row>
    <row r="33" ht="15.75" customHeight="1">
      <c r="A33" s="2">
        <f>course_requisites!A:A</f>
        <v>26</v>
      </c>
      <c r="B33" s="2" t="str">
        <f>course_requisites!B:B</f>
        <v>D220</v>
      </c>
      <c r="C33" s="11" t="str">
        <f>course_requisites!C:C</f>
        <v>C103</v>
      </c>
      <c r="D33" s="10">
        <f>VLOOKUP(B33,courses_program1!A:C,2,0)</f>
        <v>1.4</v>
      </c>
      <c r="E33" s="10">
        <f>VLOOKUP(B33,courses_program1!A:C,3,0)</f>
        <v>9</v>
      </c>
      <c r="F33" s="10">
        <f>VLOOKUP(C33,courses_program1!A:C,2,0)</f>
        <v>-4</v>
      </c>
      <c r="G33" s="10">
        <f>VLOOKUP(C33,courses_program1!A:C,3,0)</f>
        <v>0</v>
      </c>
      <c r="H33" s="2">
        <f>course_requisites!D:D</f>
        <v>1</v>
      </c>
      <c r="I33" s="2" t="str">
        <f t="shared" si="1"/>
        <v>D220C103</v>
      </c>
    </row>
    <row r="34" ht="15.75" customHeight="1">
      <c r="A34" s="2">
        <f>course_requisites!A:A</f>
        <v>26</v>
      </c>
      <c r="B34" s="2" t="str">
        <f>course_requisites!B:B</f>
        <v>D220</v>
      </c>
      <c r="C34" s="11" t="str">
        <f>course_requisites!C:C</f>
        <v>C203</v>
      </c>
      <c r="D34" s="10">
        <f>VLOOKUP(B34,courses_program1!A:C,2,0)</f>
        <v>1.4</v>
      </c>
      <c r="E34" s="10">
        <f>VLOOKUP(B34,courses_program1!A:C,3,0)</f>
        <v>9</v>
      </c>
      <c r="F34" s="10">
        <f>VLOOKUP(C34,courses_program1!A:C,2,0)</f>
        <v>-1.2</v>
      </c>
      <c r="G34" s="10">
        <f>VLOOKUP(C34,courses_program1!A:C,3,0)</f>
        <v>3</v>
      </c>
      <c r="H34" s="2">
        <f>course_requisites!D:D</f>
        <v>0</v>
      </c>
      <c r="I34" s="2" t="str">
        <f t="shared" si="1"/>
        <v>D220C203</v>
      </c>
    </row>
    <row r="35" ht="15.75" customHeight="1">
      <c r="A35" s="2">
        <f>course_requisites!A:A</f>
        <v>27</v>
      </c>
      <c r="B35" s="2" t="str">
        <f>course_requisites!B:B</f>
        <v>D221</v>
      </c>
      <c r="C35" s="11" t="str">
        <f>course_requisites!C:C</f>
        <v>D220</v>
      </c>
      <c r="D35" s="10">
        <f>VLOOKUP(B35,courses_program1!A:C,2,0)</f>
        <v>-6.6</v>
      </c>
      <c r="E35" s="10">
        <f>VLOOKUP(B35,courses_program1!A:C,3,0)</f>
        <v>12</v>
      </c>
      <c r="F35" s="10">
        <f>VLOOKUP(C35,courses_program1!A:C,2,0)</f>
        <v>1.4</v>
      </c>
      <c r="G35" s="10">
        <f>VLOOKUP(C35,courses_program1!A:C,3,0)</f>
        <v>9</v>
      </c>
      <c r="H35" s="2">
        <f>course_requisites!D:D</f>
        <v>1</v>
      </c>
      <c r="I35" s="2" t="str">
        <f t="shared" si="1"/>
        <v>D221D220</v>
      </c>
    </row>
    <row r="36" ht="15.75" customHeight="1">
      <c r="A36" s="2">
        <f>course_requisites!A:A</f>
        <v>27</v>
      </c>
      <c r="B36" s="2" t="str">
        <f>course_requisites!B:B</f>
        <v>D221</v>
      </c>
      <c r="C36" s="11" t="str">
        <f>course_requisites!C:C</f>
        <v>C121</v>
      </c>
      <c r="D36" s="10">
        <f>VLOOKUP(B36,courses_program1!A:C,2,0)</f>
        <v>-6.6</v>
      </c>
      <c r="E36" s="10">
        <f>VLOOKUP(B36,courses_program1!A:C,3,0)</f>
        <v>12</v>
      </c>
      <c r="F36" s="10">
        <f>VLOOKUP(C36,courses_program1!A:C,2,0)</f>
        <v>-7.1</v>
      </c>
      <c r="G36" s="10">
        <f>VLOOKUP(C36,courses_program1!A:C,3,0)</f>
        <v>9</v>
      </c>
      <c r="H36" s="2">
        <f>course_requisites!D:D</f>
        <v>0</v>
      </c>
      <c r="I36" s="2" t="str">
        <f t="shared" si="1"/>
        <v>D221C121</v>
      </c>
    </row>
    <row r="37" ht="15.75" customHeight="1">
      <c r="A37" s="2">
        <f>course_requisites!A:A</f>
        <v>27</v>
      </c>
      <c r="B37" s="2" t="str">
        <f>course_requisites!B:B</f>
        <v>D221</v>
      </c>
      <c r="C37" s="11" t="str">
        <f>course_requisites!C:C</f>
        <v>C203</v>
      </c>
      <c r="D37" s="10">
        <f>VLOOKUP(B37,courses_program1!A:C,2,0)</f>
        <v>-6.6</v>
      </c>
      <c r="E37" s="10">
        <f>VLOOKUP(B37,courses_program1!A:C,3,0)</f>
        <v>12</v>
      </c>
      <c r="F37" s="10">
        <f>VLOOKUP(C37,courses_program1!A:C,2,0)</f>
        <v>-1.2</v>
      </c>
      <c r="G37" s="10">
        <f>VLOOKUP(C37,courses_program1!A:C,3,0)</f>
        <v>3</v>
      </c>
      <c r="H37" s="2">
        <f>course_requisites!D:D</f>
        <v>0</v>
      </c>
      <c r="I37" s="2" t="str">
        <f t="shared" si="1"/>
        <v>D221C203</v>
      </c>
    </row>
    <row r="38" ht="15.75" customHeight="1">
      <c r="A38" s="2">
        <f>course_requisites!A:A</f>
        <v>28</v>
      </c>
      <c r="B38" s="2" t="str">
        <f>course_requisites!B:B</f>
        <v>D310</v>
      </c>
      <c r="C38" s="11" t="str">
        <f>course_requisites!C:C</f>
        <v>D100</v>
      </c>
      <c r="D38" s="10">
        <f>VLOOKUP(B38,courses_program1!A:C,2,0)</f>
        <v>4.1</v>
      </c>
      <c r="E38" s="10">
        <f>VLOOKUP(B38,courses_program1!A:C,3,0)</f>
        <v>18</v>
      </c>
      <c r="F38" s="10">
        <f>VLOOKUP(C38,courses_program1!A:C,2,0)</f>
        <v>0</v>
      </c>
      <c r="G38" s="10">
        <f>VLOOKUP(C38,courses_program1!A:C,3,0)</f>
        <v>0</v>
      </c>
      <c r="H38" s="2">
        <f>course_requisites!D:D</f>
        <v>1</v>
      </c>
      <c r="I38" s="2" t="str">
        <f t="shared" si="1"/>
        <v>D310D100</v>
      </c>
    </row>
    <row r="39" ht="15.75" customHeight="1">
      <c r="A39" s="2">
        <f>course_requisites!A:A</f>
        <v>29</v>
      </c>
      <c r="B39" s="2" t="str">
        <f>course_requisites!B:B</f>
        <v>D310</v>
      </c>
      <c r="C39" s="11" t="str">
        <f>course_requisites!C:C</f>
        <v>C203</v>
      </c>
      <c r="D39" s="10">
        <f>VLOOKUP(B39,courses_program1!A:C,2,0)</f>
        <v>4.1</v>
      </c>
      <c r="E39" s="10">
        <f>VLOOKUP(B39,courses_program1!A:C,3,0)</f>
        <v>18</v>
      </c>
      <c r="F39" s="10">
        <f>VLOOKUP(C39,courses_program1!A:C,2,0)</f>
        <v>-1.2</v>
      </c>
      <c r="G39" s="10">
        <f>VLOOKUP(C39,courses_program1!A:C,3,0)</f>
        <v>3</v>
      </c>
      <c r="H39" s="2">
        <f>course_requisites!D:D</f>
        <v>1</v>
      </c>
      <c r="I39" s="2" t="str">
        <f t="shared" si="1"/>
        <v>D310C203</v>
      </c>
    </row>
    <row r="40" ht="15.75" customHeight="1">
      <c r="A40" s="2">
        <f>course_requisites!A:A</f>
        <v>29</v>
      </c>
      <c r="B40" s="2" t="str">
        <f>course_requisites!B:B</f>
        <v>D310</v>
      </c>
      <c r="C40" s="11" t="str">
        <f>course_requisites!C:C</f>
        <v>C210</v>
      </c>
      <c r="D40" s="10">
        <f>VLOOKUP(B40,courses_program1!A:C,2,0)</f>
        <v>4.1</v>
      </c>
      <c r="E40" s="10">
        <f>VLOOKUP(B40,courses_program1!A:C,3,0)</f>
        <v>18</v>
      </c>
      <c r="F40" s="10">
        <f>VLOOKUP(C40,courses_program1!A:C,2,0)</f>
        <v>-4.3</v>
      </c>
      <c r="G40" s="10">
        <f>VLOOKUP(C40,courses_program1!A:C,3,0)</f>
        <v>9</v>
      </c>
      <c r="H40" s="2">
        <f>course_requisites!D:D</f>
        <v>1</v>
      </c>
      <c r="I40" s="2" t="str">
        <f t="shared" si="1"/>
        <v>D310C210</v>
      </c>
    </row>
    <row r="41" ht="15.75" customHeight="1">
      <c r="A41" s="2">
        <f>course_requisites!A:A</f>
        <v>29</v>
      </c>
      <c r="B41" s="2" t="str">
        <f>course_requisites!B:B</f>
        <v>D310</v>
      </c>
      <c r="C41" s="11" t="str">
        <f>course_requisites!C:C</f>
        <v>M210</v>
      </c>
      <c r="D41" s="10">
        <f>VLOOKUP(B41,courses_program1!A:C,2,0)</f>
        <v>4.1</v>
      </c>
      <c r="E41" s="10">
        <f>VLOOKUP(B41,courses_program1!A:C,3,0)</f>
        <v>18</v>
      </c>
      <c r="F41" s="10">
        <f>VLOOKUP(C41,courses_program1!A:C,2,0)</f>
        <v>1.9</v>
      </c>
      <c r="G41" s="10">
        <f>VLOOKUP(C41,courses_program1!A:C,3,0)</f>
        <v>15</v>
      </c>
      <c r="H41" s="2">
        <f>course_requisites!D:D</f>
        <v>0</v>
      </c>
      <c r="I41" s="2" t="str">
        <f t="shared" si="1"/>
        <v>D310M210</v>
      </c>
    </row>
    <row r="42" ht="15.75" customHeight="1">
      <c r="A42" s="2">
        <f>course_requisites!A:A</f>
        <v>29</v>
      </c>
      <c r="B42" s="2" t="str">
        <f>course_requisites!B:B</f>
        <v>D310</v>
      </c>
      <c r="C42" s="11" t="str">
        <f>course_requisites!C:C</f>
        <v>C107</v>
      </c>
      <c r="D42" s="10">
        <f>VLOOKUP(B42,courses_program1!A:C,2,0)</f>
        <v>4.1</v>
      </c>
      <c r="E42" s="10">
        <f>VLOOKUP(B42,courses_program1!A:C,3,0)</f>
        <v>18</v>
      </c>
      <c r="F42" s="10">
        <f>VLOOKUP(C42,courses_program1!A:C,2,0)</f>
        <v>-3.6</v>
      </c>
      <c r="G42" s="10">
        <f>VLOOKUP(C42,courses_program1!A:C,3,0)</f>
        <v>3</v>
      </c>
      <c r="H42" s="2">
        <f>course_requisites!D:D</f>
        <v>0</v>
      </c>
      <c r="I42" s="2" t="str">
        <f t="shared" si="1"/>
        <v>D310C107</v>
      </c>
    </row>
    <row r="43" ht="15.75" customHeight="1">
      <c r="A43" s="2">
        <f>course_requisites!A:A</f>
        <v>29</v>
      </c>
      <c r="B43" s="2" t="str">
        <f>course_requisites!B:B</f>
        <v>D310</v>
      </c>
      <c r="C43" s="11" t="str">
        <f>course_requisites!C:C</f>
        <v>C110</v>
      </c>
      <c r="D43" s="10">
        <f>VLOOKUP(B43,courses_program1!A:C,2,0)</f>
        <v>4.1</v>
      </c>
      <c r="E43" s="10">
        <f>VLOOKUP(B43,courses_program1!A:C,3,0)</f>
        <v>18</v>
      </c>
      <c r="F43" s="10">
        <f>VLOOKUP(C43,courses_program1!A:C,2,0)</f>
        <v>-2</v>
      </c>
      <c r="G43" s="10">
        <f>VLOOKUP(C43,courses_program1!A:C,3,0)</f>
        <v>0</v>
      </c>
      <c r="H43" s="2">
        <f>course_requisites!D:D</f>
        <v>0</v>
      </c>
      <c r="I43" s="2" t="str">
        <f t="shared" si="1"/>
        <v>D310C110</v>
      </c>
    </row>
    <row r="44" ht="15.75" customHeight="1">
      <c r="A44" s="2">
        <f>course_requisites!A:A</f>
        <v>30</v>
      </c>
      <c r="B44" s="2" t="str">
        <f>course_requisites!B:B</f>
        <v>D320</v>
      </c>
      <c r="C44" s="11" t="str">
        <f>course_requisites!C:C</f>
        <v>S201</v>
      </c>
      <c r="D44" s="10">
        <f>VLOOKUP(B44,courses_program1!A:C,2,0)</f>
        <v>-1.9</v>
      </c>
      <c r="E44" s="10">
        <f>VLOOKUP(B44,courses_program1!A:C,3,0)</f>
        <v>15</v>
      </c>
      <c r="F44" s="10">
        <f>VLOOKUP(C44,courses_program1!A:C,2,0)</f>
        <v>0</v>
      </c>
      <c r="G44" s="10">
        <f>VLOOKUP(C44,courses_program1!A:C,3,0)</f>
        <v>6</v>
      </c>
      <c r="H44" s="2">
        <f>course_requisites!D:D</f>
        <v>1</v>
      </c>
      <c r="I44" s="2" t="str">
        <f t="shared" si="1"/>
        <v>D320S201</v>
      </c>
    </row>
    <row r="45" ht="15.75" customHeight="1">
      <c r="A45" s="2">
        <f>course_requisites!A:A</f>
        <v>31</v>
      </c>
      <c r="B45" s="2" t="str">
        <f>course_requisites!B:B</f>
        <v>D320</v>
      </c>
      <c r="C45" s="11" t="str">
        <f>course_requisites!C:C</f>
        <v>C203</v>
      </c>
      <c r="D45" s="10">
        <f>VLOOKUP(B45,courses_program1!A:C,2,0)</f>
        <v>-1.9</v>
      </c>
      <c r="E45" s="10">
        <f>VLOOKUP(B45,courses_program1!A:C,3,0)</f>
        <v>15</v>
      </c>
      <c r="F45" s="10">
        <f>VLOOKUP(C45,courses_program1!A:C,2,0)</f>
        <v>-1.2</v>
      </c>
      <c r="G45" s="10">
        <f>VLOOKUP(C45,courses_program1!A:C,3,0)</f>
        <v>3</v>
      </c>
      <c r="H45" s="2">
        <f>course_requisites!D:D</f>
        <v>1</v>
      </c>
      <c r="I45" s="2" t="str">
        <f t="shared" si="1"/>
        <v>D320C203</v>
      </c>
    </row>
    <row r="46" ht="15.75" customHeight="1">
      <c r="A46" s="2">
        <f>course_requisites!A:A</f>
        <v>31</v>
      </c>
      <c r="B46" s="2" t="str">
        <f>course_requisites!B:B</f>
        <v>D320</v>
      </c>
      <c r="C46" s="11" t="str">
        <f>course_requisites!C:C</f>
        <v>C210</v>
      </c>
      <c r="D46" s="10">
        <f>VLOOKUP(B46,courses_program1!A:C,2,0)</f>
        <v>-1.9</v>
      </c>
      <c r="E46" s="10">
        <f>VLOOKUP(B46,courses_program1!A:C,3,0)</f>
        <v>15</v>
      </c>
      <c r="F46" s="10">
        <f>VLOOKUP(C46,courses_program1!A:C,2,0)</f>
        <v>-4.3</v>
      </c>
      <c r="G46" s="10">
        <f>VLOOKUP(C46,courses_program1!A:C,3,0)</f>
        <v>9</v>
      </c>
      <c r="H46" s="2">
        <f>course_requisites!D:D</f>
        <v>1</v>
      </c>
      <c r="I46" s="2" t="str">
        <f t="shared" si="1"/>
        <v>D320C210</v>
      </c>
    </row>
    <row r="47" ht="15.75" customHeight="1">
      <c r="A47" s="2">
        <f>course_requisites!A:A</f>
        <v>31</v>
      </c>
      <c r="B47" s="2" t="str">
        <f>course_requisites!B:B</f>
        <v>D320</v>
      </c>
      <c r="C47" s="11" t="str">
        <f>course_requisites!C:C</f>
        <v>D221</v>
      </c>
      <c r="D47" s="10">
        <f>VLOOKUP(B47,courses_program1!A:C,2,0)</f>
        <v>-1.9</v>
      </c>
      <c r="E47" s="10">
        <f>VLOOKUP(B47,courses_program1!A:C,3,0)</f>
        <v>15</v>
      </c>
      <c r="F47" s="10">
        <f>VLOOKUP(C47,courses_program1!A:C,2,0)</f>
        <v>-6.6</v>
      </c>
      <c r="G47" s="10">
        <f>VLOOKUP(C47,courses_program1!A:C,3,0)</f>
        <v>12</v>
      </c>
      <c r="H47" s="2">
        <f>course_requisites!D:D</f>
        <v>1</v>
      </c>
      <c r="I47" s="2" t="str">
        <f t="shared" si="1"/>
        <v>D320D221</v>
      </c>
    </row>
    <row r="48" ht="15.75" customHeight="1">
      <c r="A48" s="2">
        <f>course_requisites!A:A</f>
        <v>32</v>
      </c>
      <c r="B48" s="2" t="str">
        <f>course_requisites!B:B</f>
        <v>D430</v>
      </c>
      <c r="C48" s="11" t="str">
        <f>course_requisites!C:C</f>
        <v>C330</v>
      </c>
      <c r="D48" s="10">
        <f>VLOOKUP(B48,courses_program1!A:C,2,0)</f>
        <v>0</v>
      </c>
      <c r="E48" s="10">
        <f>VLOOKUP(B48,courses_program1!A:C,3,0)</f>
        <v>24</v>
      </c>
      <c r="F48" s="10">
        <f>VLOOKUP(C48,courses_program1!A:C,2,0)</f>
        <v>-4.1</v>
      </c>
      <c r="G48" s="10">
        <f>VLOOKUP(C48,courses_program1!A:C,3,0)</f>
        <v>18</v>
      </c>
      <c r="H48" s="2">
        <f>course_requisites!D:D</f>
        <v>1</v>
      </c>
      <c r="I48" s="2" t="str">
        <f t="shared" si="1"/>
        <v>D430C330</v>
      </c>
    </row>
    <row r="49" ht="15.75" customHeight="1">
      <c r="A49" s="2">
        <f>course_requisites!A:A</f>
        <v>32</v>
      </c>
      <c r="B49" s="2" t="str">
        <f>course_requisites!B:B</f>
        <v>D430</v>
      </c>
      <c r="C49" s="11" t="str">
        <f>course_requisites!C:C</f>
        <v>C340</v>
      </c>
      <c r="D49" s="10">
        <f>VLOOKUP(B49,courses_program1!A:C,2,0)</f>
        <v>0</v>
      </c>
      <c r="E49" s="10">
        <f>VLOOKUP(B49,courses_program1!A:C,3,0)</f>
        <v>24</v>
      </c>
      <c r="F49" s="10">
        <f>VLOOKUP(C49,courses_program1!A:C,2,0)</f>
        <v>0</v>
      </c>
      <c r="G49" s="10">
        <f>VLOOKUP(C49,courses_program1!A:C,3,0)</f>
        <v>18</v>
      </c>
      <c r="H49" s="2">
        <f>course_requisites!D:D</f>
        <v>1</v>
      </c>
      <c r="I49" s="2" t="str">
        <f t="shared" si="1"/>
        <v>D430C340</v>
      </c>
    </row>
    <row r="50" ht="15.75" customHeight="1">
      <c r="A50" s="2">
        <f>course_requisites!A:A</f>
        <v>32</v>
      </c>
      <c r="B50" s="2" t="str">
        <f>course_requisites!B:B</f>
        <v>D430</v>
      </c>
      <c r="C50" s="11" t="str">
        <f>course_requisites!C:C</f>
        <v>S301</v>
      </c>
      <c r="D50" s="10">
        <f>VLOOKUP(B50,courses_program1!A:C,2,0)</f>
        <v>0</v>
      </c>
      <c r="E50" s="10">
        <f>VLOOKUP(B50,courses_program1!A:C,3,0)</f>
        <v>24</v>
      </c>
      <c r="F50" s="10">
        <f>VLOOKUP(C50,courses_program1!A:C,2,0)</f>
        <v>7.1</v>
      </c>
      <c r="G50" s="10">
        <f>VLOOKUP(C50,courses_program1!A:C,3,0)</f>
        <v>9</v>
      </c>
      <c r="H50" s="2">
        <f>course_requisites!D:D</f>
        <v>1</v>
      </c>
      <c r="I50" s="2" t="str">
        <f t="shared" si="1"/>
        <v>D430S301</v>
      </c>
    </row>
    <row r="51" ht="15.75" customHeight="1">
      <c r="A51" s="2">
        <f>course_requisites!A:A</f>
        <v>32</v>
      </c>
      <c r="B51" s="2" t="str">
        <f>course_requisites!B:B</f>
        <v>D430</v>
      </c>
      <c r="C51" s="11" t="str">
        <f>course_requisites!C:C</f>
        <v>S406</v>
      </c>
      <c r="D51" s="10">
        <f>VLOOKUP(B51,courses_program1!A:C,2,0)</f>
        <v>0</v>
      </c>
      <c r="E51" s="10">
        <f>VLOOKUP(B51,courses_program1!A:C,3,0)</f>
        <v>24</v>
      </c>
      <c r="F51" s="10">
        <f>VLOOKUP(C51,courses_program1!A:C,2,0)</f>
        <v>0</v>
      </c>
      <c r="G51" s="10">
        <f>VLOOKUP(C51,courses_program1!A:C,3,0)</f>
        <v>21</v>
      </c>
      <c r="H51" s="2">
        <f>course_requisites!D:D</f>
        <v>1</v>
      </c>
      <c r="I51" s="2" t="str">
        <f t="shared" si="1"/>
        <v>D430S406</v>
      </c>
    </row>
    <row r="52" ht="15.75" customHeight="1">
      <c r="A52" s="2">
        <f>course_requisites!A:A</f>
        <v>33</v>
      </c>
      <c r="B52" s="2" t="str">
        <f>course_requisites!B:B</f>
        <v>C107</v>
      </c>
      <c r="C52" s="11" t="str">
        <f>course_requisites!C:C</f>
        <v>C103</v>
      </c>
      <c r="D52" s="10">
        <f>VLOOKUP(B52,courses_program1!A:C,2,0)</f>
        <v>-3.6</v>
      </c>
      <c r="E52" s="10">
        <f>VLOOKUP(B52,courses_program1!A:C,3,0)</f>
        <v>3</v>
      </c>
      <c r="F52" s="10">
        <f>VLOOKUP(C52,courses_program1!A:C,2,0)</f>
        <v>-4</v>
      </c>
      <c r="G52" s="10">
        <f>VLOOKUP(C52,courses_program1!A:C,3,0)</f>
        <v>0</v>
      </c>
      <c r="H52" s="2">
        <f>course_requisites!D:D</f>
        <v>1</v>
      </c>
      <c r="I52" s="2" t="str">
        <f t="shared" si="1"/>
        <v>C107C103</v>
      </c>
    </row>
    <row r="53" ht="15.75" customHeight="1">
      <c r="A53" s="2">
        <f>course_requisites!A:A</f>
        <v>35</v>
      </c>
      <c r="B53" s="2" t="str">
        <f>course_requisites!B:B</f>
        <v>C121</v>
      </c>
      <c r="C53" s="11" t="str">
        <f>course_requisites!C:C</f>
        <v>C107</v>
      </c>
      <c r="D53" s="10">
        <f>VLOOKUP(B53,courses_program1!A:C,2,0)</f>
        <v>-7.1</v>
      </c>
      <c r="E53" s="10">
        <f>VLOOKUP(B53,courses_program1!A:C,3,0)</f>
        <v>9</v>
      </c>
      <c r="F53" s="10">
        <f>VLOOKUP(C53,courses_program1!A:C,2,0)</f>
        <v>-3.6</v>
      </c>
      <c r="G53" s="10">
        <f>VLOOKUP(C53,courses_program1!A:C,3,0)</f>
        <v>3</v>
      </c>
      <c r="H53" s="2">
        <f>course_requisites!D:D</f>
        <v>1</v>
      </c>
      <c r="I53" s="2" t="str">
        <f t="shared" si="1"/>
        <v>C121C107</v>
      </c>
    </row>
    <row r="54" ht="15.75" customHeight="1">
      <c r="A54" s="2">
        <f>course_requisites!A:A</f>
        <v>35</v>
      </c>
      <c r="B54" s="2" t="str">
        <f>course_requisites!B:B</f>
        <v>C121</v>
      </c>
      <c r="C54" s="11" t="str">
        <f>course_requisites!C:C</f>
        <v>C110</v>
      </c>
      <c r="D54" s="10">
        <f>VLOOKUP(B54,courses_program1!A:C,2,0)</f>
        <v>-7.1</v>
      </c>
      <c r="E54" s="10">
        <f>VLOOKUP(B54,courses_program1!A:C,3,0)</f>
        <v>9</v>
      </c>
      <c r="F54" s="10">
        <f>VLOOKUP(C54,courses_program1!A:C,2,0)</f>
        <v>-2</v>
      </c>
      <c r="G54" s="10">
        <f>VLOOKUP(C54,courses_program1!A:C,3,0)</f>
        <v>0</v>
      </c>
      <c r="H54" s="2">
        <f>course_requisites!D:D</f>
        <v>1</v>
      </c>
      <c r="I54" s="2" t="str">
        <f t="shared" si="1"/>
        <v>C121C110</v>
      </c>
    </row>
    <row r="55" ht="15.75" customHeight="1">
      <c r="A55" s="2">
        <f>course_requisites!A:A</f>
        <v>36</v>
      </c>
      <c r="B55" s="2" t="str">
        <f>course_requisites!B:B</f>
        <v>C203</v>
      </c>
      <c r="C55" s="11" t="str">
        <f>course_requisites!C:C</f>
        <v>C103</v>
      </c>
      <c r="D55" s="10">
        <f>VLOOKUP(B55,courses_program1!A:C,2,0)</f>
        <v>-1.2</v>
      </c>
      <c r="E55" s="10">
        <f>VLOOKUP(B55,courses_program1!A:C,3,0)</f>
        <v>3</v>
      </c>
      <c r="F55" s="10">
        <f>VLOOKUP(C55,courses_program1!A:C,2,0)</f>
        <v>-4</v>
      </c>
      <c r="G55" s="10">
        <f>VLOOKUP(C55,courses_program1!A:C,3,0)</f>
        <v>0</v>
      </c>
      <c r="H55" s="2">
        <f>course_requisites!D:D</f>
        <v>1</v>
      </c>
      <c r="I55" s="2" t="str">
        <f t="shared" si="1"/>
        <v>C203C103</v>
      </c>
    </row>
    <row r="56" ht="15.75" customHeight="1">
      <c r="A56" s="2">
        <f>course_requisites!A:A</f>
        <v>36</v>
      </c>
      <c r="B56" s="2" t="str">
        <f>course_requisites!B:B</f>
        <v>C203</v>
      </c>
      <c r="C56" s="11" t="str">
        <f>course_requisites!C:C</f>
        <v>C110</v>
      </c>
      <c r="D56" s="10">
        <f>VLOOKUP(B56,courses_program1!A:C,2,0)</f>
        <v>-1.2</v>
      </c>
      <c r="E56" s="10">
        <f>VLOOKUP(B56,courses_program1!A:C,3,0)</f>
        <v>3</v>
      </c>
      <c r="F56" s="10">
        <f>VLOOKUP(C56,courses_program1!A:C,2,0)</f>
        <v>-2</v>
      </c>
      <c r="G56" s="10">
        <f>VLOOKUP(C56,courses_program1!A:C,3,0)</f>
        <v>0</v>
      </c>
      <c r="H56" s="2">
        <f>course_requisites!D:D</f>
        <v>1</v>
      </c>
      <c r="I56" s="2" t="str">
        <f t="shared" si="1"/>
        <v>C203C110</v>
      </c>
    </row>
    <row r="57" ht="15.75" customHeight="1">
      <c r="A57" s="2">
        <f>course_requisites!A:A</f>
        <v>37</v>
      </c>
      <c r="B57" s="2" t="str">
        <f>course_requisites!B:B</f>
        <v>C210</v>
      </c>
      <c r="C57" s="11" t="str">
        <f>course_requisites!C:C</f>
        <v>C107</v>
      </c>
      <c r="D57" s="10">
        <f>VLOOKUP(B57,courses_program1!A:C,2,0)</f>
        <v>-4.3</v>
      </c>
      <c r="E57" s="10">
        <f>VLOOKUP(B57,courses_program1!A:C,3,0)</f>
        <v>9</v>
      </c>
      <c r="F57" s="10">
        <f>VLOOKUP(C57,courses_program1!A:C,2,0)</f>
        <v>-3.6</v>
      </c>
      <c r="G57" s="10">
        <f>VLOOKUP(C57,courses_program1!A:C,3,0)</f>
        <v>3</v>
      </c>
      <c r="H57" s="2">
        <f>course_requisites!D:D</f>
        <v>1</v>
      </c>
      <c r="I57" s="2" t="str">
        <f t="shared" si="1"/>
        <v>C210C107</v>
      </c>
    </row>
    <row r="58" ht="15.75" customHeight="1">
      <c r="A58" s="2">
        <f>course_requisites!A:A</f>
        <v>37</v>
      </c>
      <c r="B58" s="2" t="str">
        <f>course_requisites!B:B</f>
        <v>C210</v>
      </c>
      <c r="C58" s="11" t="str">
        <f>course_requisites!C:C</f>
        <v>C110</v>
      </c>
      <c r="D58" s="10">
        <f>VLOOKUP(B58,courses_program1!A:C,2,0)</f>
        <v>-4.3</v>
      </c>
      <c r="E58" s="10">
        <f>VLOOKUP(B58,courses_program1!A:C,3,0)</f>
        <v>9</v>
      </c>
      <c r="F58" s="10">
        <f>VLOOKUP(C58,courses_program1!A:C,2,0)</f>
        <v>-2</v>
      </c>
      <c r="G58" s="10">
        <f>VLOOKUP(C58,courses_program1!A:C,3,0)</f>
        <v>0</v>
      </c>
      <c r="H58" s="2">
        <f>course_requisites!D:D</f>
        <v>1</v>
      </c>
      <c r="I58" s="2" t="str">
        <f t="shared" si="1"/>
        <v>C210C110</v>
      </c>
    </row>
    <row r="59" ht="15.75" customHeight="1">
      <c r="A59" s="2">
        <f>course_requisites!A:A</f>
        <v>38</v>
      </c>
      <c r="B59" s="2" t="str">
        <f>course_requisites!B:B</f>
        <v>C330</v>
      </c>
      <c r="C59" s="11" t="str">
        <f>course_requisites!C:C</f>
        <v>C203</v>
      </c>
      <c r="D59" s="10">
        <f>VLOOKUP(B59,courses_program1!A:C,2,0)</f>
        <v>-4.1</v>
      </c>
      <c r="E59" s="10">
        <f>VLOOKUP(B59,courses_program1!A:C,3,0)</f>
        <v>18</v>
      </c>
      <c r="F59" s="10">
        <f>VLOOKUP(C59,courses_program1!A:C,2,0)</f>
        <v>-1.2</v>
      </c>
      <c r="G59" s="10">
        <f>VLOOKUP(C59,courses_program1!A:C,3,0)</f>
        <v>3</v>
      </c>
      <c r="H59" s="2">
        <f>course_requisites!D:D</f>
        <v>1</v>
      </c>
      <c r="I59" s="2" t="str">
        <f t="shared" si="1"/>
        <v>C330C203</v>
      </c>
    </row>
    <row r="60" ht="15.75" customHeight="1">
      <c r="A60" s="2">
        <f>course_requisites!A:A</f>
        <v>38</v>
      </c>
      <c r="B60" s="2" t="str">
        <f>course_requisites!B:B</f>
        <v>C330</v>
      </c>
      <c r="C60" s="11" t="str">
        <f>course_requisites!C:C</f>
        <v>C210</v>
      </c>
      <c r="D60" s="10">
        <f>VLOOKUP(B60,courses_program1!A:C,2,0)</f>
        <v>-4.1</v>
      </c>
      <c r="E60" s="10">
        <f>VLOOKUP(B60,courses_program1!A:C,3,0)</f>
        <v>18</v>
      </c>
      <c r="F60" s="10">
        <f>VLOOKUP(C60,courses_program1!A:C,2,0)</f>
        <v>-4.3</v>
      </c>
      <c r="G60" s="10">
        <f>VLOOKUP(C60,courses_program1!A:C,3,0)</f>
        <v>9</v>
      </c>
      <c r="H60" s="2">
        <f>course_requisites!D:D</f>
        <v>1</v>
      </c>
      <c r="I60" s="2" t="str">
        <f t="shared" si="1"/>
        <v>C330C210</v>
      </c>
    </row>
    <row r="61" ht="15.75" customHeight="1">
      <c r="A61" s="2">
        <f>course_requisites!A:A</f>
        <v>38</v>
      </c>
      <c r="B61" s="2" t="str">
        <f>course_requisites!B:B</f>
        <v>C330</v>
      </c>
      <c r="C61" s="11" t="str">
        <f>course_requisites!C:C</f>
        <v>D221</v>
      </c>
      <c r="D61" s="10">
        <f>VLOOKUP(B61,courses_program1!A:C,2,0)</f>
        <v>-4.1</v>
      </c>
      <c r="E61" s="10">
        <f>VLOOKUP(B61,courses_program1!A:C,3,0)</f>
        <v>18</v>
      </c>
      <c r="F61" s="10">
        <f>VLOOKUP(C61,courses_program1!A:C,2,0)</f>
        <v>-6.6</v>
      </c>
      <c r="G61" s="10">
        <f>VLOOKUP(C61,courses_program1!A:C,3,0)</f>
        <v>12</v>
      </c>
      <c r="H61" s="2">
        <f>course_requisites!D:D</f>
        <v>1</v>
      </c>
      <c r="I61" s="2" t="str">
        <f t="shared" si="1"/>
        <v>C330D221</v>
      </c>
    </row>
    <row r="62" ht="15.75" customHeight="1">
      <c r="A62" s="2">
        <f>course_requisites!A:A</f>
        <v>38</v>
      </c>
      <c r="B62" s="2" t="str">
        <f>course_requisites!B:B</f>
        <v>C330</v>
      </c>
      <c r="C62" s="11" t="str">
        <f>course_requisites!C:C</f>
        <v>M210</v>
      </c>
      <c r="D62" s="10">
        <f>VLOOKUP(B62,courses_program1!A:C,2,0)</f>
        <v>-4.1</v>
      </c>
      <c r="E62" s="10">
        <f>VLOOKUP(B62,courses_program1!A:C,3,0)</f>
        <v>18</v>
      </c>
      <c r="F62" s="10">
        <f>VLOOKUP(C62,courses_program1!A:C,2,0)</f>
        <v>1.9</v>
      </c>
      <c r="G62" s="10">
        <f>VLOOKUP(C62,courses_program1!A:C,3,0)</f>
        <v>15</v>
      </c>
      <c r="H62" s="2">
        <f>course_requisites!D:D</f>
        <v>0</v>
      </c>
      <c r="I62" s="2" t="str">
        <f t="shared" si="1"/>
        <v>C330M210</v>
      </c>
    </row>
    <row r="63" ht="15.75" customHeight="1">
      <c r="A63" s="2">
        <f>course_requisites!A:A</f>
        <v>38</v>
      </c>
      <c r="B63" s="2" t="str">
        <f>course_requisites!B:B</f>
        <v>C330</v>
      </c>
      <c r="C63" s="11" t="str">
        <f>course_requisites!C:C</f>
        <v>C107</v>
      </c>
      <c r="D63" s="10">
        <f>VLOOKUP(B63,courses_program1!A:C,2,0)</f>
        <v>-4.1</v>
      </c>
      <c r="E63" s="10">
        <f>VLOOKUP(B63,courses_program1!A:C,3,0)</f>
        <v>18</v>
      </c>
      <c r="F63" s="10">
        <f>VLOOKUP(C63,courses_program1!A:C,2,0)</f>
        <v>-3.6</v>
      </c>
      <c r="G63" s="10">
        <f>VLOOKUP(C63,courses_program1!A:C,3,0)</f>
        <v>3</v>
      </c>
      <c r="H63" s="2">
        <f>course_requisites!D:D</f>
        <v>0</v>
      </c>
      <c r="I63" s="2" t="str">
        <f t="shared" si="1"/>
        <v>C330C107</v>
      </c>
    </row>
    <row r="64" ht="15.75" customHeight="1">
      <c r="A64" s="2">
        <f>course_requisites!A:A</f>
        <v>38</v>
      </c>
      <c r="B64" s="2" t="str">
        <f>course_requisites!B:B</f>
        <v>C330</v>
      </c>
      <c r="C64" s="11" t="str">
        <f>course_requisites!C:C</f>
        <v>C110</v>
      </c>
      <c r="D64" s="10">
        <f>VLOOKUP(B64,courses_program1!A:C,2,0)</f>
        <v>-4.1</v>
      </c>
      <c r="E64" s="10">
        <f>VLOOKUP(B64,courses_program1!A:C,3,0)</f>
        <v>18</v>
      </c>
      <c r="F64" s="10">
        <f>VLOOKUP(C64,courses_program1!A:C,2,0)</f>
        <v>-2</v>
      </c>
      <c r="G64" s="10">
        <f>VLOOKUP(C64,courses_program1!A:C,3,0)</f>
        <v>0</v>
      </c>
      <c r="H64" s="2">
        <f>course_requisites!D:D</f>
        <v>0</v>
      </c>
      <c r="I64" s="2" t="str">
        <f t="shared" si="1"/>
        <v>C330C110</v>
      </c>
    </row>
    <row r="65" ht="15.75" customHeight="1">
      <c r="A65" s="2">
        <f>course_requisites!A:A</f>
        <v>39</v>
      </c>
      <c r="B65" s="2" t="str">
        <f>course_requisites!B:B</f>
        <v>C340</v>
      </c>
      <c r="C65" s="11" t="str">
        <f>course_requisites!C:C</f>
        <v>C221</v>
      </c>
      <c r="D65" s="10">
        <f>VLOOKUP(B65,courses_program1!A:C,2,0)</f>
        <v>0</v>
      </c>
      <c r="E65" s="10">
        <f>VLOOKUP(B65,courses_program1!A:C,3,0)</f>
        <v>18</v>
      </c>
      <c r="F65" s="10">
        <f>VLOOKUP(C65,courses_program1!A:C,2,0)</f>
        <v>-5.6</v>
      </c>
      <c r="G65" s="10">
        <f>VLOOKUP(C65,courses_program1!A:C,3,0)</f>
        <v>15</v>
      </c>
      <c r="H65" s="2">
        <f>course_requisites!D:D</f>
        <v>1</v>
      </c>
      <c r="I65" s="2" t="str">
        <f t="shared" si="1"/>
        <v>C340C221</v>
      </c>
    </row>
    <row r="66" ht="15.75" customHeight="1">
      <c r="A66" s="2">
        <f>course_requisites!A:A</f>
        <v>39</v>
      </c>
      <c r="B66" s="2" t="str">
        <f>course_requisites!B:B</f>
        <v>C340</v>
      </c>
      <c r="C66" s="11" t="str">
        <f>course_requisites!C:C</f>
        <v>D221</v>
      </c>
      <c r="D66" s="10">
        <f>VLOOKUP(B66,courses_program1!A:C,2,0)</f>
        <v>0</v>
      </c>
      <c r="E66" s="10">
        <f>VLOOKUP(B66,courses_program1!A:C,3,0)</f>
        <v>18</v>
      </c>
      <c r="F66" s="10">
        <f>VLOOKUP(C66,courses_program1!A:C,2,0)</f>
        <v>-6.6</v>
      </c>
      <c r="G66" s="10">
        <f>VLOOKUP(C66,courses_program1!A:C,3,0)</f>
        <v>12</v>
      </c>
      <c r="H66" s="2">
        <f>course_requisites!D:D</f>
        <v>1</v>
      </c>
      <c r="I66" s="2" t="str">
        <f t="shared" si="1"/>
        <v>C340D221</v>
      </c>
    </row>
    <row r="67" ht="15.75" customHeight="1">
      <c r="A67" s="2">
        <f>course_requisites!A:A</f>
        <v>40</v>
      </c>
      <c r="B67" s="2" t="str">
        <f>course_requisites!B:B</f>
        <v>C340</v>
      </c>
      <c r="C67" s="11" t="str">
        <f>course_requisites!C:C</f>
        <v>M221</v>
      </c>
      <c r="D67" s="10">
        <f>VLOOKUP(B67,courses_program1!A:C,2,0)</f>
        <v>0</v>
      </c>
      <c r="E67" s="10">
        <f>VLOOKUP(B67,courses_program1!A:C,3,0)</f>
        <v>18</v>
      </c>
      <c r="F67" s="10">
        <f>VLOOKUP(C67,courses_program1!A:C,2,0)</f>
        <v>-2.4</v>
      </c>
      <c r="G67" s="10">
        <f>VLOOKUP(C67,courses_program1!A:C,3,0)</f>
        <v>6</v>
      </c>
      <c r="H67" s="2">
        <f>course_requisites!D:D</f>
        <v>1</v>
      </c>
      <c r="I67" s="2" t="str">
        <f t="shared" si="1"/>
        <v>C340M221</v>
      </c>
    </row>
    <row r="68" ht="15.75" customHeight="1">
      <c r="A68" s="2">
        <f>course_requisites!A:A</f>
        <v>41</v>
      </c>
      <c r="B68" s="2" t="str">
        <f>course_requisites!B:B</f>
        <v>C340</v>
      </c>
      <c r="C68" s="11" t="str">
        <f>course_requisites!C:C</f>
        <v>M200</v>
      </c>
      <c r="D68" s="10">
        <f>VLOOKUP(B68,courses_program1!A:C,2,0)</f>
        <v>0</v>
      </c>
      <c r="E68" s="10">
        <f>VLOOKUP(B68,courses_program1!A:C,3,0)</f>
        <v>18</v>
      </c>
      <c r="F68" s="10">
        <f>VLOOKUP(C68,courses_program1!A:C,2,0)</f>
        <v>-1.4</v>
      </c>
      <c r="G68" s="10">
        <f>VLOOKUP(C68,courses_program1!A:C,3,0)</f>
        <v>9</v>
      </c>
      <c r="H68" s="2">
        <f>course_requisites!D:D</f>
        <v>1</v>
      </c>
      <c r="I68" s="2" t="str">
        <f t="shared" si="1"/>
        <v>C340M200</v>
      </c>
    </row>
    <row r="69" ht="15.75" customHeight="1">
      <c r="A69" s="2">
        <f>course_requisites!A:A</f>
        <v>42</v>
      </c>
      <c r="B69" s="2" t="str">
        <f>course_requisites!B:B</f>
        <v>C340</v>
      </c>
      <c r="C69" s="11" t="str">
        <f>course_requisites!C:C</f>
        <v>S251</v>
      </c>
      <c r="D69" s="10">
        <f>VLOOKUP(B69,courses_program1!A:C,2,0)</f>
        <v>0</v>
      </c>
      <c r="E69" s="10">
        <f>VLOOKUP(B69,courses_program1!A:C,3,0)</f>
        <v>18</v>
      </c>
      <c r="F69" s="10">
        <f>VLOOKUP(C69,courses_program1!A:C,2,0)</f>
        <v>4.3</v>
      </c>
      <c r="G69" s="10">
        <f>VLOOKUP(C69,courses_program1!A:C,3,0)</f>
        <v>9</v>
      </c>
      <c r="H69" s="2">
        <f>course_requisites!D:D</f>
        <v>1</v>
      </c>
      <c r="I69" s="2" t="str">
        <f t="shared" si="1"/>
        <v>C340S251</v>
      </c>
    </row>
    <row r="70" ht="15.75" customHeight="1">
      <c r="A70" s="2">
        <f>course_requisites!A:A</f>
        <v>42</v>
      </c>
      <c r="B70" s="2" t="str">
        <f>course_requisites!B:B</f>
        <v>C340</v>
      </c>
      <c r="C70" s="11" t="str">
        <f>course_requisites!C:C</f>
        <v>S302</v>
      </c>
      <c r="D70" s="10">
        <f>VLOOKUP(B70,courses_program1!A:C,2,0)</f>
        <v>0</v>
      </c>
      <c r="E70" s="10">
        <f>VLOOKUP(B70,courses_program1!A:C,3,0)</f>
        <v>18</v>
      </c>
      <c r="F70" s="10">
        <f>VLOOKUP(C70,courses_program1!A:C,2,0)</f>
        <v>6.6</v>
      </c>
      <c r="G70" s="10">
        <f>VLOOKUP(C70,courses_program1!A:C,3,0)</f>
        <v>12</v>
      </c>
      <c r="H70" s="2">
        <f>course_requisites!D:D</f>
        <v>1</v>
      </c>
      <c r="I70" s="2" t="str">
        <f t="shared" si="1"/>
        <v>C340S302</v>
      </c>
    </row>
    <row r="71" ht="15.75" customHeight="1">
      <c r="A71" s="2">
        <f>course_requisites!A:A</f>
        <v>44</v>
      </c>
      <c r="B71" s="2" t="str">
        <f>course_requisites!B:B</f>
        <v>C221</v>
      </c>
      <c r="C71" s="11" t="str">
        <f>course_requisites!C:C</f>
        <v>C210</v>
      </c>
      <c r="D71" s="10">
        <f>VLOOKUP(B71,courses_program1!A:C,2,0)</f>
        <v>-5.6</v>
      </c>
      <c r="E71" s="10">
        <f>VLOOKUP(B71,courses_program1!A:C,3,0)</f>
        <v>15</v>
      </c>
      <c r="F71" s="10">
        <f>VLOOKUP(C71,courses_program1!A:C,2,0)</f>
        <v>-4.3</v>
      </c>
      <c r="G71" s="10">
        <f>VLOOKUP(C71,courses_program1!A:C,3,0)</f>
        <v>9</v>
      </c>
      <c r="H71" s="2">
        <f>course_requisites!D:D</f>
        <v>1</v>
      </c>
      <c r="I71" s="2" t="str">
        <f t="shared" si="1"/>
        <v>C221C210</v>
      </c>
    </row>
    <row r="72" ht="15.75" customHeight="1">
      <c r="A72" s="2">
        <f>course_requisites!A:A</f>
        <v>45</v>
      </c>
      <c r="B72" s="2" t="str">
        <f>course_requisites!B:B</f>
        <v>C221</v>
      </c>
      <c r="C72" s="11" t="str">
        <f>course_requisites!C:C</f>
        <v>C121</v>
      </c>
      <c r="D72" s="10">
        <f>VLOOKUP(B72,courses_program1!A:C,2,0)</f>
        <v>-5.6</v>
      </c>
      <c r="E72" s="10">
        <f>VLOOKUP(B72,courses_program1!A:C,3,0)</f>
        <v>15</v>
      </c>
      <c r="F72" s="10">
        <f>VLOOKUP(C72,courses_program1!A:C,2,0)</f>
        <v>-7.1</v>
      </c>
      <c r="G72" s="10">
        <f>VLOOKUP(C72,courses_program1!A:C,3,0)</f>
        <v>9</v>
      </c>
      <c r="H72" s="2">
        <f>course_requisites!D:D</f>
        <v>1</v>
      </c>
      <c r="I72" s="2" t="str">
        <f t="shared" si="1"/>
        <v>C221C121</v>
      </c>
    </row>
    <row r="73" ht="15.75" customHeight="1">
      <c r="A73" s="2">
        <f>course_requisites!A:A</f>
        <v>45</v>
      </c>
      <c r="B73" s="2" t="str">
        <f>course_requisites!B:B</f>
        <v>C221</v>
      </c>
      <c r="C73" s="11" t="str">
        <f>course_requisites!C:C</f>
        <v>M220</v>
      </c>
      <c r="D73" s="10">
        <f>VLOOKUP(B73,courses_program1!A:C,2,0)</f>
        <v>-5.6</v>
      </c>
      <c r="E73" s="10">
        <f>VLOOKUP(B73,courses_program1!A:C,3,0)</f>
        <v>15</v>
      </c>
      <c r="F73" s="10">
        <f>VLOOKUP(C73,courses_program1!A:C,2,0)</f>
        <v>0</v>
      </c>
      <c r="G73" s="10">
        <f>VLOOKUP(C73,courses_program1!A:C,3,0)</f>
        <v>12</v>
      </c>
      <c r="H73" s="2">
        <f>course_requisites!D:D</f>
        <v>1</v>
      </c>
      <c r="I73" s="2" t="str">
        <f t="shared" si="1"/>
        <v>C221M220</v>
      </c>
    </row>
    <row r="74" ht="15.75" customHeight="1">
      <c r="A74" s="2">
        <f>course_requisites!A:A</f>
        <v>45</v>
      </c>
      <c r="B74" s="2" t="str">
        <f>course_requisites!B:B</f>
        <v>C221</v>
      </c>
      <c r="C74" s="11" t="str">
        <f>course_requisites!C:C</f>
        <v>M200</v>
      </c>
      <c r="D74" s="10">
        <f>VLOOKUP(B74,courses_program1!A:C,2,0)</f>
        <v>-5.6</v>
      </c>
      <c r="E74" s="10">
        <f>VLOOKUP(B74,courses_program1!A:C,3,0)</f>
        <v>15</v>
      </c>
      <c r="F74" s="10">
        <f>VLOOKUP(C74,courses_program1!A:C,2,0)</f>
        <v>-1.4</v>
      </c>
      <c r="G74" s="10">
        <f>VLOOKUP(C74,courses_program1!A:C,3,0)</f>
        <v>9</v>
      </c>
      <c r="H74" s="2">
        <f>course_requisites!D:D</f>
        <v>0</v>
      </c>
      <c r="I74" s="2" t="str">
        <f t="shared" si="1"/>
        <v>C221M200</v>
      </c>
    </row>
    <row r="75" ht="15.75" customHeight="1">
      <c r="A75" s="2">
        <f>course_requisites!A:A</f>
        <v>46</v>
      </c>
      <c r="B75" s="2" t="str">
        <f>course_requisites!B:B</f>
        <v>M220</v>
      </c>
      <c r="C75" s="11" t="str">
        <f>course_requisites!C:C</f>
        <v>M101</v>
      </c>
      <c r="D75" s="10">
        <f>VLOOKUP(B75,courses_program1!A:C,2,0)</f>
        <v>0</v>
      </c>
      <c r="E75" s="10">
        <f>VLOOKUP(B75,courses_program1!A:C,3,0)</f>
        <v>12</v>
      </c>
      <c r="F75" s="10">
        <f>VLOOKUP(C75,courses_program1!A:C,2,0)</f>
        <v>3.6</v>
      </c>
      <c r="G75" s="10">
        <f>VLOOKUP(C75,courses_program1!A:C,3,0)</f>
        <v>3</v>
      </c>
      <c r="H75" s="2">
        <f>course_requisites!D:D</f>
        <v>1</v>
      </c>
      <c r="I75" s="2" t="str">
        <f t="shared" si="1"/>
        <v>M220M101</v>
      </c>
    </row>
    <row r="76" ht="15.75" customHeight="1">
      <c r="A76" s="2">
        <f>course_requisites!A:A</f>
        <v>46</v>
      </c>
      <c r="B76" s="2" t="str">
        <f>course_requisites!B:B</f>
        <v>M220</v>
      </c>
      <c r="C76" s="11" t="str">
        <f>course_requisites!C:C</f>
        <v>M200</v>
      </c>
      <c r="D76" s="10">
        <f>VLOOKUP(B76,courses_program1!A:C,2,0)</f>
        <v>0</v>
      </c>
      <c r="E76" s="10">
        <f>VLOOKUP(B76,courses_program1!A:C,3,0)</f>
        <v>12</v>
      </c>
      <c r="F76" s="10">
        <f>VLOOKUP(C76,courses_program1!A:C,2,0)</f>
        <v>-1.4</v>
      </c>
      <c r="G76" s="10">
        <f>VLOOKUP(C76,courses_program1!A:C,3,0)</f>
        <v>9</v>
      </c>
      <c r="H76" s="2">
        <f>course_requisites!D:D</f>
        <v>1</v>
      </c>
      <c r="I76" s="2" t="str">
        <f t="shared" si="1"/>
        <v>M220M200</v>
      </c>
    </row>
    <row r="77" ht="15.75" customHeight="1">
      <c r="A77" s="2" t="str">
        <f>course_requisites!A:A</f>
        <v/>
      </c>
      <c r="H77" s="2" t="str">
        <f>course_requisites!D:D</f>
        <v/>
      </c>
      <c r="I77" s="2" t="str">
        <f t="shared" si="1"/>
        <v/>
      </c>
    </row>
    <row r="78" ht="15.75" customHeight="1">
      <c r="A78" s="2" t="str">
        <f>course_requisites!A:A</f>
        <v/>
      </c>
      <c r="H78" s="2" t="str">
        <f>course_requisites!D:D</f>
        <v/>
      </c>
      <c r="I78" s="2" t="str">
        <f t="shared" si="1"/>
        <v/>
      </c>
    </row>
    <row r="79" ht="15.75" customHeight="1">
      <c r="A79" s="2" t="str">
        <f>course_requisites!A:A</f>
        <v/>
      </c>
      <c r="H79" s="2" t="str">
        <f>course_requisites!D:D</f>
        <v/>
      </c>
      <c r="I79" s="2" t="str">
        <f t="shared" si="1"/>
        <v/>
      </c>
    </row>
    <row r="80" ht="15.75" customHeight="1">
      <c r="A80" s="2" t="str">
        <f>course_requisites!A:A</f>
        <v/>
      </c>
      <c r="H80" s="2" t="str">
        <f>course_requisites!D:D</f>
        <v/>
      </c>
    </row>
    <row r="81" ht="15.75" customHeight="1">
      <c r="A81" s="2" t="str">
        <f>course_requisites!A:A</f>
        <v/>
      </c>
      <c r="H81" s="2" t="str">
        <f>course_requisites!D:D</f>
        <v/>
      </c>
    </row>
    <row r="82" ht="15.75" customHeight="1">
      <c r="A82" s="2" t="str">
        <f>course_requisites!A:A</f>
        <v/>
      </c>
      <c r="H82" s="2" t="str">
        <f>course_requisites!D:D</f>
        <v/>
      </c>
    </row>
    <row r="83" ht="15.75" customHeight="1">
      <c r="A83" s="2" t="str">
        <f>course_requisites!A:A</f>
        <v/>
      </c>
      <c r="H83" s="2" t="str">
        <f>course_requisites!D:D</f>
        <v/>
      </c>
    </row>
    <row r="84" ht="15.75" customHeight="1">
      <c r="A84" s="2" t="str">
        <f>course_requisites!A:A</f>
        <v/>
      </c>
      <c r="H84" s="2" t="str">
        <f>course_requisites!D:D</f>
        <v/>
      </c>
    </row>
    <row r="85" ht="15.75" customHeight="1">
      <c r="H85" s="2" t="str">
        <f>course_requisites!D:D</f>
        <v/>
      </c>
    </row>
    <row r="86" ht="15.75" customHeight="1">
      <c r="H86" s="2" t="str">
        <f>course_requisites!D:D</f>
        <v/>
      </c>
    </row>
    <row r="87" ht="15.75" customHeight="1">
      <c r="H87" s="2" t="str">
        <f>course_requisites!D:D</f>
        <v/>
      </c>
    </row>
    <row r="88" ht="15.75" customHeight="1">
      <c r="H88" s="2" t="str">
        <f>course_requisites!D:D</f>
        <v/>
      </c>
    </row>
    <row r="89" ht="15.75" customHeight="1">
      <c r="H89" s="2" t="str">
        <f>course_requisites!D:D</f>
        <v/>
      </c>
    </row>
    <row r="90" ht="15.75" customHeight="1">
      <c r="H90" s="2" t="str">
        <f>course_requisites!D:D</f>
        <v/>
      </c>
    </row>
    <row r="91" ht="15.75" customHeight="1">
      <c r="H91" s="2" t="str">
        <f>course_requisites!D:D</f>
        <v/>
      </c>
    </row>
    <row r="92" ht="15.75" customHeight="1">
      <c r="H92" s="2" t="str">
        <f>course_requisites!D:D</f>
        <v/>
      </c>
    </row>
    <row r="93" ht="15.75" customHeight="1">
      <c r="H93" s="2" t="str">
        <f>course_requisites!D:D</f>
        <v/>
      </c>
    </row>
    <row r="94" ht="15.75" customHeight="1">
      <c r="H94" s="2" t="str">
        <f>course_requisites!D:D</f>
        <v/>
      </c>
    </row>
    <row r="95" ht="15.75" customHeight="1">
      <c r="H95" s="2" t="str">
        <f>course_requisites!D:D</f>
        <v/>
      </c>
    </row>
    <row r="96" ht="15.75" customHeight="1">
      <c r="H96" s="2" t="str">
        <f>course_requisites!D:D</f>
        <v/>
      </c>
    </row>
    <row r="97" ht="15.75" customHeight="1">
      <c r="H97" s="2" t="str">
        <f>course_requisites!D:D</f>
        <v/>
      </c>
    </row>
    <row r="98" ht="15.75" customHeight="1">
      <c r="H98" s="2" t="str">
        <f>course_requisites!D:D</f>
        <v/>
      </c>
    </row>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4" width="10.71"/>
    <col customWidth="1" min="5" max="6" width="14.43"/>
  </cols>
  <sheetData>
    <row r="1">
      <c r="A1" s="1" t="s">
        <v>0</v>
      </c>
      <c r="B1" s="2" t="s">
        <v>205</v>
      </c>
      <c r="C1" s="2" t="s">
        <v>206</v>
      </c>
      <c r="D1" s="2" t="s">
        <v>207</v>
      </c>
    </row>
    <row r="2">
      <c r="A2" s="2" t="s">
        <v>6</v>
      </c>
      <c r="B2" s="3">
        <v>2.4</v>
      </c>
      <c r="C2" s="3">
        <v>6.0</v>
      </c>
      <c r="D2" s="2">
        <v>0.0</v>
      </c>
    </row>
    <row r="3">
      <c r="A3" s="2" t="s">
        <v>12</v>
      </c>
      <c r="B3" s="3">
        <v>0.0</v>
      </c>
      <c r="C3" s="3">
        <v>6.0</v>
      </c>
      <c r="D3" s="2">
        <v>1.0</v>
      </c>
    </row>
    <row r="4">
      <c r="A4" s="2" t="s">
        <v>115</v>
      </c>
      <c r="B4" s="3">
        <v>4.0</v>
      </c>
      <c r="C4" s="3">
        <v>0.0</v>
      </c>
      <c r="D4" s="2">
        <v>0.0</v>
      </c>
    </row>
    <row r="5">
      <c r="A5" s="2" t="s">
        <v>16</v>
      </c>
      <c r="B5" s="3">
        <v>4.3</v>
      </c>
      <c r="C5" s="3">
        <v>9.0</v>
      </c>
      <c r="D5" s="2">
        <v>0.0</v>
      </c>
    </row>
    <row r="6">
      <c r="A6" s="2" t="s">
        <v>20</v>
      </c>
      <c r="B6" s="3">
        <v>3.3</v>
      </c>
      <c r="C6" s="3">
        <v>12.0</v>
      </c>
      <c r="D6" s="2">
        <v>0.0</v>
      </c>
    </row>
    <row r="7">
      <c r="A7" s="2" t="s">
        <v>24</v>
      </c>
      <c r="B7" s="3">
        <v>7.1</v>
      </c>
      <c r="C7" s="3">
        <v>9.0</v>
      </c>
      <c r="D7" s="2">
        <v>1.0</v>
      </c>
    </row>
    <row r="8">
      <c r="A8" s="2" t="s">
        <v>27</v>
      </c>
      <c r="B8" s="3">
        <v>6.6</v>
      </c>
      <c r="C8" s="3">
        <v>12.0</v>
      </c>
      <c r="D8" s="2">
        <v>0.0</v>
      </c>
    </row>
    <row r="9">
      <c r="A9" s="2" t="s">
        <v>32</v>
      </c>
      <c r="B9" s="3">
        <v>5.6</v>
      </c>
      <c r="C9" s="3">
        <v>15.0</v>
      </c>
      <c r="D9" s="2">
        <v>0.0</v>
      </c>
    </row>
    <row r="10">
      <c r="A10" s="2" t="s">
        <v>36</v>
      </c>
      <c r="B10" s="3">
        <v>0.0</v>
      </c>
      <c r="C10" s="3">
        <v>21.0</v>
      </c>
      <c r="D10" s="2">
        <v>0.0</v>
      </c>
    </row>
    <row r="11">
      <c r="A11" s="2" t="s">
        <v>39</v>
      </c>
      <c r="B11" s="3">
        <v>2.0</v>
      </c>
      <c r="C11" s="3">
        <v>0.0</v>
      </c>
      <c r="D11" s="2">
        <v>0.0</v>
      </c>
    </row>
    <row r="12">
      <c r="A12" s="2" t="s">
        <v>43</v>
      </c>
      <c r="B12" s="3">
        <v>3.6</v>
      </c>
      <c r="C12" s="3">
        <v>3.0</v>
      </c>
      <c r="D12" s="2">
        <v>0.0</v>
      </c>
    </row>
    <row r="13">
      <c r="A13" s="2" t="s">
        <v>47</v>
      </c>
      <c r="B13" s="3">
        <v>-1.4</v>
      </c>
      <c r="C13" s="3">
        <v>9.0</v>
      </c>
      <c r="D13" s="2">
        <v>0.0</v>
      </c>
    </row>
    <row r="14">
      <c r="A14" s="2" t="s">
        <v>51</v>
      </c>
      <c r="B14" s="3">
        <v>1.9</v>
      </c>
      <c r="C14" s="3">
        <v>15.0</v>
      </c>
      <c r="D14" s="2">
        <v>0.0</v>
      </c>
    </row>
    <row r="15">
      <c r="A15" s="2" t="s">
        <v>54</v>
      </c>
      <c r="B15" s="3">
        <v>-3.3</v>
      </c>
      <c r="C15" s="3">
        <v>12.0</v>
      </c>
      <c r="D15" s="2">
        <v>0.0</v>
      </c>
    </row>
    <row r="16">
      <c r="A16" s="2" t="s">
        <v>122</v>
      </c>
      <c r="B16" s="3">
        <v>0.0</v>
      </c>
      <c r="C16" s="3">
        <v>12.0</v>
      </c>
      <c r="D16" s="2">
        <v>0.0</v>
      </c>
    </row>
    <row r="17">
      <c r="A17" s="2" t="s">
        <v>57</v>
      </c>
      <c r="B17" s="3">
        <v>-2.4</v>
      </c>
      <c r="C17" s="3">
        <v>6.0</v>
      </c>
      <c r="D17" s="2">
        <v>0.0</v>
      </c>
    </row>
    <row r="18">
      <c r="A18" s="2" t="s">
        <v>61</v>
      </c>
      <c r="B18" s="3">
        <v>0.0</v>
      </c>
      <c r="C18" s="3">
        <v>0.0</v>
      </c>
      <c r="D18" s="2">
        <v>1.0</v>
      </c>
    </row>
    <row r="19">
      <c r="A19" s="2" t="s">
        <v>64</v>
      </c>
      <c r="B19" s="3">
        <v>1.2</v>
      </c>
      <c r="C19" s="3">
        <v>3.0</v>
      </c>
      <c r="D19" s="2">
        <v>0.0</v>
      </c>
    </row>
    <row r="20">
      <c r="A20" s="2" t="s">
        <v>67</v>
      </c>
      <c r="B20" s="3">
        <v>1.4</v>
      </c>
      <c r="C20" s="3">
        <v>9.0</v>
      </c>
      <c r="D20" s="2">
        <v>0.0</v>
      </c>
    </row>
    <row r="21" ht="15.75" customHeight="1">
      <c r="A21" s="2" t="s">
        <v>71</v>
      </c>
      <c r="B21" s="3">
        <v>-6.6</v>
      </c>
      <c r="C21" s="3">
        <v>12.0</v>
      </c>
      <c r="D21" s="2">
        <v>0.0</v>
      </c>
    </row>
    <row r="22" ht="15.75" customHeight="1">
      <c r="A22" s="2" t="s">
        <v>74</v>
      </c>
      <c r="B22" s="3">
        <v>4.1</v>
      </c>
      <c r="C22" s="3">
        <v>18.0</v>
      </c>
      <c r="D22" s="2">
        <v>1.0</v>
      </c>
    </row>
    <row r="23" ht="15.75" customHeight="1">
      <c r="A23" s="2" t="s">
        <v>78</v>
      </c>
      <c r="B23" s="3">
        <v>-1.9</v>
      </c>
      <c r="C23" s="3">
        <v>15.0</v>
      </c>
      <c r="D23" s="2">
        <v>1.0</v>
      </c>
    </row>
    <row r="24" ht="15.75" customHeight="1">
      <c r="A24" s="2" t="s">
        <v>82</v>
      </c>
      <c r="B24" s="3">
        <v>0.0</v>
      </c>
      <c r="C24" s="3">
        <v>24.0</v>
      </c>
      <c r="D24" s="2">
        <v>1.0</v>
      </c>
    </row>
    <row r="25" ht="15.75" customHeight="1">
      <c r="A25" s="2" t="s">
        <v>86</v>
      </c>
      <c r="B25" s="3">
        <v>-4.0</v>
      </c>
      <c r="C25" s="3">
        <v>0.0</v>
      </c>
      <c r="D25" s="2">
        <v>1.0</v>
      </c>
    </row>
    <row r="26" ht="15.75" customHeight="1">
      <c r="A26" s="2" t="s">
        <v>90</v>
      </c>
      <c r="B26" s="3">
        <v>-3.6</v>
      </c>
      <c r="C26" s="3">
        <v>3.0</v>
      </c>
      <c r="D26" s="2">
        <v>0.0</v>
      </c>
    </row>
    <row r="27" ht="15.75" customHeight="1">
      <c r="A27" s="2" t="s">
        <v>94</v>
      </c>
      <c r="B27" s="3">
        <v>-2.0</v>
      </c>
      <c r="C27" s="3">
        <v>0.0</v>
      </c>
      <c r="D27" s="2">
        <v>0.0</v>
      </c>
    </row>
    <row r="28" ht="15.75" customHeight="1">
      <c r="A28" s="2" t="s">
        <v>98</v>
      </c>
      <c r="B28" s="3">
        <v>-7.1</v>
      </c>
      <c r="C28" s="3">
        <v>9.0</v>
      </c>
      <c r="D28" s="2">
        <v>0.0</v>
      </c>
    </row>
    <row r="29" ht="15.75" customHeight="1">
      <c r="A29" s="2" t="s">
        <v>102</v>
      </c>
      <c r="B29" s="3">
        <v>-1.2</v>
      </c>
      <c r="C29" s="3">
        <v>3.0</v>
      </c>
      <c r="D29" s="2">
        <v>1.0</v>
      </c>
    </row>
    <row r="30" ht="15.75" customHeight="1">
      <c r="A30" s="2" t="s">
        <v>106</v>
      </c>
      <c r="B30" s="3">
        <v>-4.3</v>
      </c>
      <c r="C30" s="3">
        <v>9.0</v>
      </c>
      <c r="D30" s="2">
        <v>0.0</v>
      </c>
    </row>
    <row r="31" ht="15.75" customHeight="1">
      <c r="A31" s="2" t="s">
        <v>119</v>
      </c>
      <c r="B31" s="3">
        <v>-5.6</v>
      </c>
      <c r="C31" s="3">
        <v>15.0</v>
      </c>
      <c r="D31" s="2">
        <v>0.0</v>
      </c>
    </row>
    <row r="32" ht="15.75" customHeight="1">
      <c r="A32" s="2" t="s">
        <v>109</v>
      </c>
      <c r="B32" s="3">
        <v>-4.1</v>
      </c>
      <c r="C32" s="3">
        <v>18.0</v>
      </c>
      <c r="D32" s="2">
        <v>1.0</v>
      </c>
    </row>
    <row r="33" ht="15.75" customHeight="1">
      <c r="A33" s="2" t="s">
        <v>112</v>
      </c>
      <c r="B33" s="3">
        <v>0.0</v>
      </c>
      <c r="C33" s="3">
        <v>18.0</v>
      </c>
      <c r="D33" s="2">
        <v>0.0</v>
      </c>
    </row>
    <row r="34" ht="15.75" customHeight="1">
      <c r="B34" s="10"/>
      <c r="C34" s="10"/>
    </row>
    <row r="35" ht="15.75" customHeight="1">
      <c r="B35" s="10"/>
      <c r="C35" s="10"/>
    </row>
    <row r="36" ht="15.75" customHeight="1">
      <c r="B36" s="10"/>
      <c r="C36" s="10"/>
    </row>
    <row r="37" ht="15.75" customHeight="1">
      <c r="B37" s="10"/>
      <c r="C37" s="10"/>
    </row>
    <row r="38" ht="15.75" customHeight="1">
      <c r="B38" s="10"/>
      <c r="C38" s="10"/>
    </row>
    <row r="39" ht="15.75" customHeight="1">
      <c r="B39" s="10"/>
      <c r="C39" s="10"/>
    </row>
    <row r="40" ht="15.75" customHeight="1">
      <c r="B40" s="10"/>
      <c r="C40" s="10"/>
    </row>
    <row r="41" ht="15.75" customHeight="1">
      <c r="B41" s="10"/>
      <c r="C41" s="10"/>
    </row>
    <row r="42" ht="15.75" customHeight="1">
      <c r="B42" s="10"/>
      <c r="C42" s="10"/>
    </row>
    <row r="43" ht="15.75" customHeight="1">
      <c r="B43" s="10"/>
      <c r="C43" s="10"/>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3.86"/>
    <col customWidth="1" min="3" max="3" width="15.0"/>
    <col customWidth="1" min="4" max="7" width="10.71"/>
    <col customWidth="1" min="8" max="8" width="16.86"/>
    <col customWidth="1" min="9" max="9" width="21.0"/>
  </cols>
  <sheetData>
    <row r="1">
      <c r="A1" s="2" t="s">
        <v>125</v>
      </c>
      <c r="B1" s="2" t="s">
        <v>0</v>
      </c>
      <c r="C1" s="11" t="s">
        <v>164</v>
      </c>
      <c r="D1" s="10" t="s">
        <v>208</v>
      </c>
      <c r="E1" s="10" t="s">
        <v>209</v>
      </c>
      <c r="F1" s="10" t="s">
        <v>210</v>
      </c>
      <c r="G1" s="10" t="s">
        <v>211</v>
      </c>
      <c r="H1" s="10" t="s">
        <v>212</v>
      </c>
      <c r="I1" s="10" t="s">
        <v>213</v>
      </c>
    </row>
    <row r="2">
      <c r="A2" s="2">
        <f>course_requisites!A:A</f>
        <v>1</v>
      </c>
      <c r="B2" s="2" t="str">
        <f>course_requisites!B:B</f>
        <v>S200</v>
      </c>
      <c r="C2" s="11" t="str">
        <f>course_requisites!C:C</f>
        <v>M100</v>
      </c>
      <c r="D2" s="10">
        <f>VLOOKUP(B2,courses_program1!A:C,2,0)</f>
        <v>2.4</v>
      </c>
      <c r="E2" s="10">
        <f>VLOOKUP(B2,courses_program1!A:C,3,0)</f>
        <v>6</v>
      </c>
      <c r="F2" s="10">
        <f>VLOOKUP(C2,courses_program1!A:C,2,0)</f>
        <v>2</v>
      </c>
      <c r="G2" s="10">
        <f>VLOOKUP(C2,courses_program1!A:C,3,0)</f>
        <v>0</v>
      </c>
      <c r="H2" s="2">
        <f>course_requisites!D:D</f>
        <v>1</v>
      </c>
      <c r="I2" s="2" t="str">
        <f t="shared" ref="I2:I79" si="1">CONCAT(B2, C2)</f>
        <v>S200M100</v>
      </c>
    </row>
    <row r="3">
      <c r="A3" s="2">
        <f>course_requisites!A:A</f>
        <v>2</v>
      </c>
      <c r="B3" s="2" t="str">
        <f>course_requisites!B:B</f>
        <v>S201</v>
      </c>
      <c r="C3" s="11" t="str">
        <f>course_requisites!C:C</f>
        <v>D100</v>
      </c>
      <c r="D3" s="10">
        <f>VLOOKUP(B3,courses_program1!A:C,2,0)</f>
        <v>0</v>
      </c>
      <c r="E3" s="10">
        <f>VLOOKUP(B3,courses_program1!A:C,3,0)</f>
        <v>6</v>
      </c>
      <c r="F3" s="10">
        <f>VLOOKUP(C3,courses_program1!A:C,2,0)</f>
        <v>0</v>
      </c>
      <c r="G3" s="10">
        <f>VLOOKUP(C3,courses_program1!A:C,3,0)</f>
        <v>0</v>
      </c>
      <c r="H3" s="2">
        <f>course_requisites!D:D</f>
        <v>1</v>
      </c>
      <c r="I3" s="2" t="str">
        <f t="shared" si="1"/>
        <v>S201D100</v>
      </c>
    </row>
    <row r="4">
      <c r="A4" s="2">
        <f>course_requisites!A:A</f>
        <v>3</v>
      </c>
      <c r="B4" s="2" t="str">
        <f>course_requisites!B:B</f>
        <v>S251</v>
      </c>
      <c r="C4" s="11" t="str">
        <f>course_requisites!C:C</f>
        <v>M101</v>
      </c>
      <c r="D4" s="10">
        <f>VLOOKUP(B4,courses_program1!A:C,2,0)</f>
        <v>4.3</v>
      </c>
      <c r="E4" s="10">
        <f>VLOOKUP(B4,courses_program1!A:C,3,0)</f>
        <v>9</v>
      </c>
      <c r="F4" s="10">
        <f>VLOOKUP(C4,courses_program1!A:C,2,0)</f>
        <v>3.6</v>
      </c>
      <c r="G4" s="10">
        <f>VLOOKUP(C4,courses_program1!A:C,3,0)</f>
        <v>3</v>
      </c>
      <c r="H4" s="2">
        <f>course_requisites!D:D</f>
        <v>1</v>
      </c>
      <c r="I4" s="2" t="str">
        <f t="shared" si="1"/>
        <v>S251M101</v>
      </c>
    </row>
    <row r="5">
      <c r="A5" s="2">
        <f>course_requisites!A:A</f>
        <v>4</v>
      </c>
      <c r="B5" s="2" t="str">
        <f>course_requisites!B:B</f>
        <v>S300</v>
      </c>
      <c r="C5" s="11" t="str">
        <f>course_requisites!C:C</f>
        <v>S200</v>
      </c>
      <c r="D5" s="10">
        <f>VLOOKUP(B5,courses_program1!A:C,2,0)</f>
        <v>3.3</v>
      </c>
      <c r="E5" s="10">
        <f>VLOOKUP(B5,courses_program1!A:C,3,0)</f>
        <v>12</v>
      </c>
      <c r="F5" s="10">
        <f>VLOOKUP(C5,courses_program1!A:C,2,0)</f>
        <v>2.4</v>
      </c>
      <c r="G5" s="10">
        <f>VLOOKUP(C5,courses_program1!A:C,3,0)</f>
        <v>6</v>
      </c>
      <c r="H5" s="2">
        <f>course_requisites!D:D</f>
        <v>1</v>
      </c>
      <c r="I5" s="2" t="str">
        <f t="shared" si="1"/>
        <v>S300S200</v>
      </c>
    </row>
    <row r="6">
      <c r="A6" s="2">
        <f>course_requisites!A:A</f>
        <v>4</v>
      </c>
      <c r="B6" s="2" t="str">
        <f>course_requisites!B:B</f>
        <v>S300</v>
      </c>
      <c r="C6" s="11" t="str">
        <f>course_requisites!C:C</f>
        <v>S203</v>
      </c>
      <c r="D6" s="10">
        <f>VLOOKUP(B6,courses_program1!A:C,2,0)</f>
        <v>3.3</v>
      </c>
      <c r="E6" s="10">
        <f>VLOOKUP(B6,courses_program1!A:C,3,0)</f>
        <v>12</v>
      </c>
      <c r="F6" s="10">
        <f>VLOOKUP(C6,courses_program1!A:C,2,0)</f>
        <v>4</v>
      </c>
      <c r="G6" s="10">
        <f>VLOOKUP(C6,courses_program1!A:C,3,0)</f>
        <v>0</v>
      </c>
      <c r="H6" s="2">
        <f>course_requisites!D:D</f>
        <v>0</v>
      </c>
      <c r="I6" s="2" t="str">
        <f t="shared" si="1"/>
        <v>S300S203</v>
      </c>
    </row>
    <row r="7">
      <c r="A7" s="2">
        <f>course_requisites!A:A</f>
        <v>4</v>
      </c>
      <c r="B7" s="2" t="str">
        <f>course_requisites!B:B</f>
        <v>S300</v>
      </c>
      <c r="C7" s="11" t="str">
        <f>course_requisites!C:C</f>
        <v>S251</v>
      </c>
      <c r="D7" s="10">
        <f>VLOOKUP(B7,courses_program1!A:C,2,0)</f>
        <v>3.3</v>
      </c>
      <c r="E7" s="10">
        <f>VLOOKUP(B7,courses_program1!A:C,3,0)</f>
        <v>12</v>
      </c>
      <c r="F7" s="10">
        <f>VLOOKUP(C7,courses_program1!A:C,2,0)</f>
        <v>4.3</v>
      </c>
      <c r="G7" s="10">
        <f>VLOOKUP(C7,courses_program1!A:C,3,0)</f>
        <v>9</v>
      </c>
      <c r="H7" s="2">
        <f>course_requisites!D:D</f>
        <v>0</v>
      </c>
      <c r="I7" s="2" t="str">
        <f t="shared" si="1"/>
        <v>S300S251</v>
      </c>
    </row>
    <row r="8">
      <c r="A8" s="2">
        <f>course_requisites!A:A</f>
        <v>5</v>
      </c>
      <c r="B8" s="2" t="str">
        <f>course_requisites!B:B</f>
        <v>S301</v>
      </c>
      <c r="C8" s="11" t="str">
        <f>course_requisites!C:C</f>
        <v>S201</v>
      </c>
      <c r="D8" s="10">
        <f>VLOOKUP(B8,courses_program1!A:C,2,0)</f>
        <v>7.1</v>
      </c>
      <c r="E8" s="10">
        <f>VLOOKUP(B8,courses_program1!A:C,3,0)</f>
        <v>9</v>
      </c>
      <c r="F8" s="10">
        <f>VLOOKUP(C8,courses_program1!A:C,2,0)</f>
        <v>0</v>
      </c>
      <c r="G8" s="10">
        <f>VLOOKUP(C8,courses_program1!A:C,3,0)</f>
        <v>6</v>
      </c>
      <c r="H8" s="2">
        <f>course_requisites!D:D</f>
        <v>1</v>
      </c>
      <c r="I8" s="2" t="str">
        <f t="shared" si="1"/>
        <v>S301S201</v>
      </c>
    </row>
    <row r="9">
      <c r="A9" s="2">
        <f>course_requisites!A:A</f>
        <v>6</v>
      </c>
      <c r="B9" s="2" t="str">
        <f>course_requisites!B:B</f>
        <v>S301</v>
      </c>
      <c r="C9" s="11" t="str">
        <f>course_requisites!C:C</f>
        <v>M100</v>
      </c>
      <c r="D9" s="10">
        <f>VLOOKUP(B9,courses_program1!A:C,2,0)</f>
        <v>7.1</v>
      </c>
      <c r="E9" s="10">
        <f>VLOOKUP(B9,courses_program1!A:C,3,0)</f>
        <v>9</v>
      </c>
      <c r="F9" s="10">
        <f>VLOOKUP(C9,courses_program1!A:C,2,0)</f>
        <v>2</v>
      </c>
      <c r="G9" s="10">
        <f>VLOOKUP(C9,courses_program1!A:C,3,0)</f>
        <v>0</v>
      </c>
      <c r="H9" s="2">
        <f>course_requisites!D:D</f>
        <v>1</v>
      </c>
      <c r="I9" s="2" t="str">
        <f t="shared" si="1"/>
        <v>S301M100</v>
      </c>
    </row>
    <row r="10">
      <c r="A10" s="2">
        <f>course_requisites!A:A</f>
        <v>7</v>
      </c>
      <c r="B10" s="2" t="str">
        <f>course_requisites!B:B</f>
        <v>S302</v>
      </c>
      <c r="C10" s="11" t="str">
        <f>course_requisites!C:C</f>
        <v>M200</v>
      </c>
      <c r="D10" s="10">
        <f>VLOOKUP(B10,courses_program1!A:C,2,0)</f>
        <v>6.6</v>
      </c>
      <c r="E10" s="10">
        <f>VLOOKUP(B10,courses_program1!A:C,3,0)</f>
        <v>12</v>
      </c>
      <c r="F10" s="10">
        <f>VLOOKUP(C10,courses_program1!A:C,2,0)</f>
        <v>-1.4</v>
      </c>
      <c r="G10" s="10">
        <f>VLOOKUP(C10,courses_program1!A:C,3,0)</f>
        <v>9</v>
      </c>
      <c r="H10" s="2">
        <f>course_requisites!D:D</f>
        <v>1</v>
      </c>
      <c r="I10" s="2" t="str">
        <f t="shared" si="1"/>
        <v>S302M200</v>
      </c>
    </row>
    <row r="11">
      <c r="A11" s="2">
        <f>course_requisites!A:A</f>
        <v>8</v>
      </c>
      <c r="B11" s="2" t="str">
        <f>course_requisites!B:B</f>
        <v>S306</v>
      </c>
      <c r="C11" s="11" t="str">
        <f>course_requisites!C:C</f>
        <v>M221</v>
      </c>
      <c r="D11" s="10">
        <f>VLOOKUP(B11,courses_program1!A:C,2,0)</f>
        <v>5.6</v>
      </c>
      <c r="E11" s="10">
        <f>VLOOKUP(B11,courses_program1!A:C,3,0)</f>
        <v>15</v>
      </c>
      <c r="F11" s="10">
        <f>VLOOKUP(C11,courses_program1!A:C,2,0)</f>
        <v>-2.4</v>
      </c>
      <c r="G11" s="10">
        <f>VLOOKUP(C11,courses_program1!A:C,3,0)</f>
        <v>6</v>
      </c>
      <c r="H11" s="2">
        <f>course_requisites!D:D</f>
        <v>1</v>
      </c>
      <c r="I11" s="2" t="str">
        <f t="shared" si="1"/>
        <v>S306M221</v>
      </c>
    </row>
    <row r="12">
      <c r="A12" s="2">
        <f>course_requisites!A:A</f>
        <v>9</v>
      </c>
      <c r="B12" s="2" t="str">
        <f>course_requisites!B:B</f>
        <v>S306</v>
      </c>
      <c r="C12" s="11" t="str">
        <f>course_requisites!C:C</f>
        <v>S200</v>
      </c>
      <c r="D12" s="10">
        <f>VLOOKUP(B12,courses_program1!A:C,2,0)</f>
        <v>5.6</v>
      </c>
      <c r="E12" s="10">
        <f>VLOOKUP(B12,courses_program1!A:C,3,0)</f>
        <v>15</v>
      </c>
      <c r="F12" s="10">
        <f>VLOOKUP(C12,courses_program1!A:C,2,0)</f>
        <v>2.4</v>
      </c>
      <c r="G12" s="10">
        <f>VLOOKUP(C12,courses_program1!A:C,3,0)</f>
        <v>6</v>
      </c>
      <c r="H12" s="2">
        <f>course_requisites!D:D</f>
        <v>1</v>
      </c>
      <c r="I12" s="2" t="str">
        <f t="shared" si="1"/>
        <v>S306S200</v>
      </c>
    </row>
    <row r="13">
      <c r="A13" s="2">
        <f>course_requisites!A:A</f>
        <v>9</v>
      </c>
      <c r="B13" s="2" t="str">
        <f>course_requisites!B:B</f>
        <v>S306</v>
      </c>
      <c r="C13" s="11" t="str">
        <f>course_requisites!C:C</f>
        <v>S251</v>
      </c>
      <c r="D13" s="10">
        <f>VLOOKUP(B13,courses_program1!A:C,2,0)</f>
        <v>5.6</v>
      </c>
      <c r="E13" s="10">
        <f>VLOOKUP(B13,courses_program1!A:C,3,0)</f>
        <v>15</v>
      </c>
      <c r="F13" s="10">
        <f>VLOOKUP(C13,courses_program1!A:C,2,0)</f>
        <v>4.3</v>
      </c>
      <c r="G13" s="10">
        <f>VLOOKUP(C13,courses_program1!A:C,3,0)</f>
        <v>9</v>
      </c>
      <c r="H13" s="2">
        <f>course_requisites!D:D</f>
        <v>0</v>
      </c>
      <c r="I13" s="2" t="str">
        <f t="shared" si="1"/>
        <v>S306S251</v>
      </c>
    </row>
    <row r="14">
      <c r="A14" s="2">
        <f>course_requisites!A:A</f>
        <v>9</v>
      </c>
      <c r="B14" s="2" t="str">
        <f>course_requisites!B:B</f>
        <v>S306</v>
      </c>
      <c r="C14" s="11" t="str">
        <f>course_requisites!C:C</f>
        <v>S300</v>
      </c>
      <c r="D14" s="10">
        <f>VLOOKUP(B14,courses_program1!A:C,2,0)</f>
        <v>5.6</v>
      </c>
      <c r="E14" s="10">
        <f>VLOOKUP(B14,courses_program1!A:C,3,0)</f>
        <v>15</v>
      </c>
      <c r="F14" s="10">
        <f>VLOOKUP(C14,courses_program1!A:C,2,0)</f>
        <v>3.3</v>
      </c>
      <c r="G14" s="10">
        <f>VLOOKUP(C14,courses_program1!A:C,3,0)</f>
        <v>12</v>
      </c>
      <c r="H14" s="2">
        <f>course_requisites!D:D</f>
        <v>0</v>
      </c>
      <c r="I14" s="2" t="str">
        <f t="shared" si="1"/>
        <v>S306S300</v>
      </c>
    </row>
    <row r="15">
      <c r="A15" s="2">
        <f>course_requisites!A:A</f>
        <v>10</v>
      </c>
      <c r="B15" s="2" t="str">
        <f>course_requisites!B:B</f>
        <v>S306</v>
      </c>
      <c r="C15" s="11" t="str">
        <f>course_requisites!C:C</f>
        <v>S302</v>
      </c>
      <c r="D15" s="10">
        <f>VLOOKUP(B15,courses_program1!A:C,2,0)</f>
        <v>5.6</v>
      </c>
      <c r="E15" s="10">
        <f>VLOOKUP(B15,courses_program1!A:C,3,0)</f>
        <v>15</v>
      </c>
      <c r="F15" s="10">
        <f>VLOOKUP(C15,courses_program1!A:C,2,0)</f>
        <v>6.6</v>
      </c>
      <c r="G15" s="10">
        <f>VLOOKUP(C15,courses_program1!A:C,3,0)</f>
        <v>12</v>
      </c>
      <c r="H15" s="2">
        <f>course_requisites!D:D</f>
        <v>1</v>
      </c>
      <c r="I15" s="2" t="str">
        <f t="shared" si="1"/>
        <v>S306S302</v>
      </c>
    </row>
    <row r="16">
      <c r="A16" s="2">
        <f>course_requisites!A:A</f>
        <v>11</v>
      </c>
      <c r="B16" s="2" t="str">
        <f>course_requisites!B:B</f>
        <v>S406</v>
      </c>
      <c r="C16" s="11" t="str">
        <f>course_requisites!C:C</f>
        <v>S306</v>
      </c>
      <c r="D16" s="10">
        <f>VLOOKUP(B16,courses_program1!A:C,2,0)</f>
        <v>0</v>
      </c>
      <c r="E16" s="10">
        <f>VLOOKUP(B16,courses_program1!A:C,3,0)</f>
        <v>21</v>
      </c>
      <c r="F16" s="10">
        <f>VLOOKUP(C16,courses_program1!A:C,2,0)</f>
        <v>5.6</v>
      </c>
      <c r="G16" s="10">
        <f>VLOOKUP(C16,courses_program1!A:C,3,0)</f>
        <v>15</v>
      </c>
      <c r="H16" s="2">
        <f>course_requisites!D:D</f>
        <v>1</v>
      </c>
      <c r="I16" s="2" t="str">
        <f t="shared" si="1"/>
        <v>S406S306</v>
      </c>
    </row>
    <row r="17">
      <c r="A17" s="2">
        <f>course_requisites!A:A</f>
        <v>11</v>
      </c>
      <c r="B17" s="2" t="str">
        <f>course_requisites!B:B</f>
        <v>S406</v>
      </c>
      <c r="C17" s="11" t="str">
        <f>course_requisites!C:C</f>
        <v>C340</v>
      </c>
      <c r="D17" s="10">
        <f>VLOOKUP(B17,courses_program1!A:C,2,0)</f>
        <v>0</v>
      </c>
      <c r="E17" s="10">
        <f>VLOOKUP(B17,courses_program1!A:C,3,0)</f>
        <v>21</v>
      </c>
      <c r="F17" s="10">
        <f>VLOOKUP(C17,courses_program1!A:C,2,0)</f>
        <v>0</v>
      </c>
      <c r="G17" s="10">
        <f>VLOOKUP(C17,courses_program1!A:C,3,0)</f>
        <v>18</v>
      </c>
      <c r="H17" s="2">
        <f>course_requisites!D:D</f>
        <v>0</v>
      </c>
      <c r="I17" s="2" t="str">
        <f t="shared" si="1"/>
        <v>S406C340</v>
      </c>
    </row>
    <row r="18">
      <c r="A18" s="2">
        <f>course_requisites!A:A</f>
        <v>11</v>
      </c>
      <c r="B18" s="2" t="str">
        <f>course_requisites!B:B</f>
        <v>S406</v>
      </c>
      <c r="C18" s="11" t="str">
        <f>course_requisites!C:C</f>
        <v>S301</v>
      </c>
      <c r="D18" s="10">
        <f>VLOOKUP(B18,courses_program1!A:C,2,0)</f>
        <v>0</v>
      </c>
      <c r="E18" s="10">
        <f>VLOOKUP(B18,courses_program1!A:C,3,0)</f>
        <v>21</v>
      </c>
      <c r="F18" s="10">
        <f>VLOOKUP(C18,courses_program1!A:C,2,0)</f>
        <v>7.1</v>
      </c>
      <c r="G18" s="10">
        <f>VLOOKUP(C18,courses_program1!A:C,3,0)</f>
        <v>9</v>
      </c>
      <c r="H18" s="2">
        <f>course_requisites!D:D</f>
        <v>0</v>
      </c>
      <c r="I18" s="2" t="str">
        <f t="shared" si="1"/>
        <v>S406S301</v>
      </c>
    </row>
    <row r="19">
      <c r="A19" s="2">
        <f>course_requisites!A:A</f>
        <v>11</v>
      </c>
      <c r="B19" s="2" t="str">
        <f>course_requisites!B:B</f>
        <v>S406</v>
      </c>
      <c r="C19" s="11" t="str">
        <f>course_requisites!C:C</f>
        <v>M221</v>
      </c>
      <c r="D19" s="10">
        <f>VLOOKUP(B19,courses_program1!A:C,2,0)</f>
        <v>0</v>
      </c>
      <c r="E19" s="10">
        <f>VLOOKUP(B19,courses_program1!A:C,3,0)</f>
        <v>21</v>
      </c>
      <c r="F19" s="10">
        <f>VLOOKUP(C19,courses_program1!A:C,2,0)</f>
        <v>-2.4</v>
      </c>
      <c r="G19" s="10">
        <f>VLOOKUP(C19,courses_program1!A:C,3,0)</f>
        <v>6</v>
      </c>
      <c r="H19" s="2">
        <f>course_requisites!D:D</f>
        <v>0</v>
      </c>
      <c r="I19" s="2" t="str">
        <f t="shared" si="1"/>
        <v>S406M221</v>
      </c>
    </row>
    <row r="20">
      <c r="A20" s="2">
        <f>course_requisites!A:A</f>
        <v>11</v>
      </c>
      <c r="B20" s="2" t="str">
        <f>course_requisites!B:B</f>
        <v>S406</v>
      </c>
      <c r="C20" s="11" t="str">
        <f>course_requisites!C:C</f>
        <v>S302</v>
      </c>
      <c r="D20" s="10">
        <f>VLOOKUP(B20,courses_program1!A:C,2,0)</f>
        <v>0</v>
      </c>
      <c r="E20" s="10">
        <f>VLOOKUP(B20,courses_program1!A:C,3,0)</f>
        <v>21</v>
      </c>
      <c r="F20" s="10">
        <f>VLOOKUP(C20,courses_program1!A:C,2,0)</f>
        <v>6.6</v>
      </c>
      <c r="G20" s="10">
        <f>VLOOKUP(C20,courses_program1!A:C,3,0)</f>
        <v>12</v>
      </c>
      <c r="H20" s="2">
        <f>course_requisites!D:D</f>
        <v>0</v>
      </c>
      <c r="I20" s="2" t="str">
        <f t="shared" si="1"/>
        <v>S406S302</v>
      </c>
    </row>
    <row r="21" ht="15.75" customHeight="1">
      <c r="A21" s="2">
        <f>course_requisites!A:A</f>
        <v>13</v>
      </c>
      <c r="B21" s="2" t="str">
        <f>course_requisites!B:B</f>
        <v>M101</v>
      </c>
      <c r="C21" s="11" t="str">
        <f>course_requisites!C:C</f>
        <v>M100</v>
      </c>
      <c r="D21" s="10">
        <f>VLOOKUP(B21,courses_program1!A:C,2,0)</f>
        <v>3.6</v>
      </c>
      <c r="E21" s="10">
        <f>VLOOKUP(B21,courses_program1!A:C,3,0)</f>
        <v>3</v>
      </c>
      <c r="F21" s="10">
        <f>VLOOKUP(C21,courses_program1!A:C,2,0)</f>
        <v>2</v>
      </c>
      <c r="G21" s="10">
        <f>VLOOKUP(C21,courses_program1!A:C,3,0)</f>
        <v>0</v>
      </c>
      <c r="H21" s="2">
        <f>course_requisites!D:D</f>
        <v>1</v>
      </c>
      <c r="I21" s="2" t="str">
        <f t="shared" si="1"/>
        <v>M101M100</v>
      </c>
    </row>
    <row r="22" ht="15.75" customHeight="1">
      <c r="A22" s="2">
        <f>course_requisites!A:A</f>
        <v>14</v>
      </c>
      <c r="B22" s="2" t="str">
        <f>course_requisites!B:B</f>
        <v>M200</v>
      </c>
      <c r="C22" s="11" t="str">
        <f>course_requisites!C:C</f>
        <v>M101</v>
      </c>
      <c r="D22" s="10">
        <f>VLOOKUP(B22,courses_program1!A:C,2,0)</f>
        <v>-1.4</v>
      </c>
      <c r="E22" s="10">
        <f>VLOOKUP(B22,courses_program1!A:C,3,0)</f>
        <v>9</v>
      </c>
      <c r="F22" s="10">
        <f>VLOOKUP(C22,courses_program1!A:C,2,0)</f>
        <v>3.6</v>
      </c>
      <c r="G22" s="10">
        <f>VLOOKUP(C22,courses_program1!A:C,3,0)</f>
        <v>3</v>
      </c>
      <c r="H22" s="2">
        <f>course_requisites!D:D</f>
        <v>1</v>
      </c>
      <c r="I22" s="2" t="str">
        <f t="shared" si="1"/>
        <v>M200M101</v>
      </c>
    </row>
    <row r="23" ht="15.75" customHeight="1">
      <c r="A23" s="2">
        <f>course_requisites!A:A</f>
        <v>15</v>
      </c>
      <c r="B23" s="2" t="str">
        <f>course_requisites!B:B</f>
        <v>M210</v>
      </c>
      <c r="C23" s="11" t="str">
        <f>course_requisites!C:C</f>
        <v>M101</v>
      </c>
      <c r="D23" s="10">
        <f>VLOOKUP(B23,courses_program1!A:C,2,0)</f>
        <v>1.9</v>
      </c>
      <c r="E23" s="10">
        <f>VLOOKUP(B23,courses_program1!A:C,3,0)</f>
        <v>15</v>
      </c>
      <c r="F23" s="10">
        <f>VLOOKUP(C23,courses_program1!A:C,2,0)</f>
        <v>3.6</v>
      </c>
      <c r="G23" s="10">
        <f>VLOOKUP(C23,courses_program1!A:C,3,0)</f>
        <v>3</v>
      </c>
      <c r="H23" s="2">
        <f>course_requisites!D:D</f>
        <v>1</v>
      </c>
      <c r="I23" s="2" t="str">
        <f t="shared" si="1"/>
        <v>M210M101</v>
      </c>
    </row>
    <row r="24" ht="15.75" customHeight="1">
      <c r="A24" s="2">
        <f>course_requisites!A:A</f>
        <v>16</v>
      </c>
      <c r="B24" s="2" t="str">
        <f>course_requisites!B:B</f>
        <v>M210</v>
      </c>
      <c r="C24" s="11" t="str">
        <f>course_requisites!C:C</f>
        <v>M215</v>
      </c>
      <c r="D24" s="10">
        <f>VLOOKUP(B24,courses_program1!A:C,2,0)</f>
        <v>1.9</v>
      </c>
      <c r="E24" s="10">
        <f>VLOOKUP(B24,courses_program1!A:C,3,0)</f>
        <v>15</v>
      </c>
      <c r="F24" s="10">
        <f>VLOOKUP(C24,courses_program1!A:C,2,0)</f>
        <v>-3.3</v>
      </c>
      <c r="G24" s="10">
        <f>VLOOKUP(C24,courses_program1!A:C,3,0)</f>
        <v>12</v>
      </c>
      <c r="H24" s="2">
        <f>course_requisites!D:D</f>
        <v>1</v>
      </c>
      <c r="I24" s="2" t="str">
        <f t="shared" si="1"/>
        <v>M210M215</v>
      </c>
    </row>
    <row r="25" ht="15.75" customHeight="1">
      <c r="A25" s="2">
        <f>course_requisites!A:A</f>
        <v>17</v>
      </c>
      <c r="B25" s="2" t="str">
        <f>course_requisites!B:B</f>
        <v>M210</v>
      </c>
      <c r="C25" s="11" t="str">
        <f>course_requisites!C:C</f>
        <v>M221</v>
      </c>
      <c r="D25" s="10">
        <f>VLOOKUP(B25,courses_program1!A:C,2,0)</f>
        <v>1.9</v>
      </c>
      <c r="E25" s="10">
        <f>VLOOKUP(B25,courses_program1!A:C,3,0)</f>
        <v>15</v>
      </c>
      <c r="F25" s="10">
        <f>VLOOKUP(C25,courses_program1!A:C,2,0)</f>
        <v>-2.4</v>
      </c>
      <c r="G25" s="10">
        <f>VLOOKUP(C25,courses_program1!A:C,3,0)</f>
        <v>6</v>
      </c>
      <c r="H25" s="2">
        <f>course_requisites!D:D</f>
        <v>1</v>
      </c>
      <c r="I25" s="2" t="str">
        <f t="shared" si="1"/>
        <v>M210M221</v>
      </c>
    </row>
    <row r="26" ht="15.75" customHeight="1">
      <c r="A26" s="2">
        <f>course_requisites!A:A</f>
        <v>18</v>
      </c>
      <c r="B26" s="2" t="str">
        <f>course_requisites!B:B</f>
        <v>M215</v>
      </c>
      <c r="C26" s="11" t="str">
        <f>course_requisites!C:C</f>
        <v>M101</v>
      </c>
      <c r="D26" s="10">
        <f>VLOOKUP(B26,courses_program1!A:C,2,0)</f>
        <v>-3.3</v>
      </c>
      <c r="E26" s="10">
        <f>VLOOKUP(B26,courses_program1!A:C,3,0)</f>
        <v>12</v>
      </c>
      <c r="F26" s="10">
        <f>VLOOKUP(C26,courses_program1!A:C,2,0)</f>
        <v>3.6</v>
      </c>
      <c r="G26" s="10">
        <f>VLOOKUP(C26,courses_program1!A:C,3,0)</f>
        <v>3</v>
      </c>
      <c r="H26" s="2">
        <f>course_requisites!D:D</f>
        <v>1</v>
      </c>
      <c r="I26" s="2" t="str">
        <f t="shared" si="1"/>
        <v>M215M101</v>
      </c>
    </row>
    <row r="27" ht="15.75" customHeight="1">
      <c r="A27" s="2">
        <f>course_requisites!A:A</f>
        <v>19</v>
      </c>
      <c r="B27" s="2" t="str">
        <f>course_requisites!B:B</f>
        <v>M215</v>
      </c>
      <c r="C27" s="11" t="str">
        <f>course_requisites!C:C</f>
        <v>M221</v>
      </c>
      <c r="D27" s="10">
        <f>VLOOKUP(B27,courses_program1!A:C,2,0)</f>
        <v>-3.3</v>
      </c>
      <c r="E27" s="10">
        <f>VLOOKUP(B27,courses_program1!A:C,3,0)</f>
        <v>12</v>
      </c>
      <c r="F27" s="10">
        <f>VLOOKUP(C27,courses_program1!A:C,2,0)</f>
        <v>-2.4</v>
      </c>
      <c r="G27" s="10">
        <f>VLOOKUP(C27,courses_program1!A:C,3,0)</f>
        <v>6</v>
      </c>
      <c r="H27" s="2">
        <f>course_requisites!D:D</f>
        <v>1</v>
      </c>
      <c r="I27" s="2" t="str">
        <f t="shared" si="1"/>
        <v>M215M221</v>
      </c>
    </row>
    <row r="28" ht="15.75" customHeight="1">
      <c r="A28" s="2">
        <f>course_requisites!A:A</f>
        <v>20</v>
      </c>
      <c r="B28" s="2" t="str">
        <f>course_requisites!B:B</f>
        <v>M215</v>
      </c>
      <c r="C28" s="11" t="str">
        <f>course_requisites!C:C</f>
        <v>M200</v>
      </c>
      <c r="D28" s="10">
        <f>VLOOKUP(B28,courses_program1!A:C,2,0)</f>
        <v>-3.3</v>
      </c>
      <c r="E28" s="10">
        <f>VLOOKUP(B28,courses_program1!A:C,3,0)</f>
        <v>12</v>
      </c>
      <c r="F28" s="10">
        <f>VLOOKUP(C28,courses_program1!A:C,2,0)</f>
        <v>-1.4</v>
      </c>
      <c r="G28" s="10">
        <f>VLOOKUP(C28,courses_program1!A:C,3,0)</f>
        <v>9</v>
      </c>
      <c r="H28" s="2">
        <f>course_requisites!D:D</f>
        <v>1</v>
      </c>
      <c r="I28" s="2" t="str">
        <f t="shared" si="1"/>
        <v>M215M200</v>
      </c>
    </row>
    <row r="29" ht="15.75" customHeight="1">
      <c r="A29" s="2">
        <f>course_requisites!A:A</f>
        <v>21</v>
      </c>
      <c r="B29" s="2" t="str">
        <f>course_requisites!B:B</f>
        <v>M221</v>
      </c>
      <c r="C29" s="11" t="str">
        <f>course_requisites!C:C</f>
        <v>M100</v>
      </c>
      <c r="D29" s="10">
        <f>VLOOKUP(B29,courses_program1!A:C,2,0)</f>
        <v>-2.4</v>
      </c>
      <c r="E29" s="10">
        <f>VLOOKUP(B29,courses_program1!A:C,3,0)</f>
        <v>6</v>
      </c>
      <c r="F29" s="10">
        <f>VLOOKUP(C29,courses_program1!A:C,2,0)</f>
        <v>2</v>
      </c>
      <c r="G29" s="10">
        <f>VLOOKUP(C29,courses_program1!A:C,3,0)</f>
        <v>0</v>
      </c>
      <c r="H29" s="2">
        <f>course_requisites!D:D</f>
        <v>1</v>
      </c>
      <c r="I29" s="2" t="str">
        <f t="shared" si="1"/>
        <v>M221M100</v>
      </c>
    </row>
    <row r="30" ht="15.75" customHeight="1">
      <c r="A30" s="2">
        <f>course_requisites!A:A</f>
        <v>23</v>
      </c>
      <c r="B30" s="2" t="str">
        <f>course_requisites!B:B</f>
        <v>D200</v>
      </c>
      <c r="C30" s="11" t="str">
        <f>course_requisites!C:C</f>
        <v>D100</v>
      </c>
      <c r="D30" s="10">
        <f>VLOOKUP(B30,courses_program1!A:C,2,0)</f>
        <v>1.2</v>
      </c>
      <c r="E30" s="10">
        <f>VLOOKUP(B30,courses_program1!A:C,3,0)</f>
        <v>3</v>
      </c>
      <c r="F30" s="10">
        <f>VLOOKUP(C30,courses_program1!A:C,2,0)</f>
        <v>0</v>
      </c>
      <c r="G30" s="10">
        <f>VLOOKUP(C30,courses_program1!A:C,3,0)</f>
        <v>0</v>
      </c>
      <c r="H30" s="2">
        <f>course_requisites!D:D</f>
        <v>1</v>
      </c>
      <c r="I30" s="2" t="str">
        <f t="shared" si="1"/>
        <v>D200D100</v>
      </c>
    </row>
    <row r="31" ht="15.75" customHeight="1">
      <c r="A31" s="2">
        <f>course_requisites!A:A</f>
        <v>24</v>
      </c>
      <c r="B31" s="2" t="str">
        <f>course_requisites!B:B</f>
        <v>D220</v>
      </c>
      <c r="C31" s="11" t="str">
        <f>course_requisites!C:C</f>
        <v>M100</v>
      </c>
      <c r="D31" s="10">
        <f>VLOOKUP(B31,courses_program1!A:C,2,0)</f>
        <v>1.4</v>
      </c>
      <c r="E31" s="10">
        <f>VLOOKUP(B31,courses_program1!A:C,3,0)</f>
        <v>9</v>
      </c>
      <c r="F31" s="10">
        <f>VLOOKUP(C31,courses_program1!A:C,2,0)</f>
        <v>2</v>
      </c>
      <c r="G31" s="10">
        <f>VLOOKUP(C31,courses_program1!A:C,3,0)</f>
        <v>0</v>
      </c>
      <c r="H31" s="2">
        <f>course_requisites!D:D</f>
        <v>1</v>
      </c>
      <c r="I31" s="2" t="str">
        <f t="shared" si="1"/>
        <v>D220M100</v>
      </c>
    </row>
    <row r="32" ht="15.75" customHeight="1">
      <c r="A32" s="2">
        <f>course_requisites!A:A</f>
        <v>25</v>
      </c>
      <c r="B32" s="2" t="str">
        <f>course_requisites!B:B</f>
        <v>D220</v>
      </c>
      <c r="C32" s="11" t="str">
        <f>course_requisites!C:C</f>
        <v>D100</v>
      </c>
      <c r="D32" s="10">
        <f>VLOOKUP(B32,courses_program1!A:C,2,0)</f>
        <v>1.4</v>
      </c>
      <c r="E32" s="10">
        <f>VLOOKUP(B32,courses_program1!A:C,3,0)</f>
        <v>9</v>
      </c>
      <c r="F32" s="10">
        <f>VLOOKUP(C32,courses_program1!A:C,2,0)</f>
        <v>0</v>
      </c>
      <c r="G32" s="10">
        <f>VLOOKUP(C32,courses_program1!A:C,3,0)</f>
        <v>0</v>
      </c>
      <c r="H32" s="2">
        <f>course_requisites!D:D</f>
        <v>1</v>
      </c>
      <c r="I32" s="2" t="str">
        <f t="shared" si="1"/>
        <v>D220D100</v>
      </c>
    </row>
    <row r="33" ht="15.75" customHeight="1">
      <c r="A33" s="2">
        <f>course_requisites!A:A</f>
        <v>26</v>
      </c>
      <c r="B33" s="2" t="str">
        <f>course_requisites!B:B</f>
        <v>D220</v>
      </c>
      <c r="C33" s="11" t="str">
        <f>course_requisites!C:C</f>
        <v>C103</v>
      </c>
      <c r="D33" s="10">
        <f>VLOOKUP(B33,courses_program1!A:C,2,0)</f>
        <v>1.4</v>
      </c>
      <c r="E33" s="10">
        <f>VLOOKUP(B33,courses_program1!A:C,3,0)</f>
        <v>9</v>
      </c>
      <c r="F33" s="10">
        <f>VLOOKUP(C33,courses_program1!A:C,2,0)</f>
        <v>-4</v>
      </c>
      <c r="G33" s="10">
        <f>VLOOKUP(C33,courses_program1!A:C,3,0)</f>
        <v>0</v>
      </c>
      <c r="H33" s="2">
        <f>course_requisites!D:D</f>
        <v>1</v>
      </c>
      <c r="I33" s="2" t="str">
        <f t="shared" si="1"/>
        <v>D220C103</v>
      </c>
    </row>
    <row r="34" ht="15.75" customHeight="1">
      <c r="A34" s="2">
        <f>course_requisites!A:A</f>
        <v>26</v>
      </c>
      <c r="B34" s="2" t="str">
        <f>course_requisites!B:B</f>
        <v>D220</v>
      </c>
      <c r="C34" s="11" t="str">
        <f>course_requisites!C:C</f>
        <v>C203</v>
      </c>
      <c r="D34" s="10">
        <f>VLOOKUP(B34,courses_program1!A:C,2,0)</f>
        <v>1.4</v>
      </c>
      <c r="E34" s="10">
        <f>VLOOKUP(B34,courses_program1!A:C,3,0)</f>
        <v>9</v>
      </c>
      <c r="F34" s="10">
        <f>VLOOKUP(C34,courses_program1!A:C,2,0)</f>
        <v>-1.2</v>
      </c>
      <c r="G34" s="10">
        <f>VLOOKUP(C34,courses_program1!A:C,3,0)</f>
        <v>3</v>
      </c>
      <c r="H34" s="2">
        <f>course_requisites!D:D</f>
        <v>0</v>
      </c>
      <c r="I34" s="2" t="str">
        <f t="shared" si="1"/>
        <v>D220C203</v>
      </c>
    </row>
    <row r="35" ht="15.75" customHeight="1">
      <c r="A35" s="2">
        <f>course_requisites!A:A</f>
        <v>27</v>
      </c>
      <c r="B35" s="2" t="str">
        <f>course_requisites!B:B</f>
        <v>D221</v>
      </c>
      <c r="C35" s="11" t="str">
        <f>course_requisites!C:C</f>
        <v>D220</v>
      </c>
      <c r="D35" s="10">
        <f>VLOOKUP(B35,courses_program1!A:C,2,0)</f>
        <v>-6.6</v>
      </c>
      <c r="E35" s="10">
        <f>VLOOKUP(B35,courses_program1!A:C,3,0)</f>
        <v>12</v>
      </c>
      <c r="F35" s="10">
        <f>VLOOKUP(C35,courses_program1!A:C,2,0)</f>
        <v>1.4</v>
      </c>
      <c r="G35" s="10">
        <f>VLOOKUP(C35,courses_program1!A:C,3,0)</f>
        <v>9</v>
      </c>
      <c r="H35" s="2">
        <f>course_requisites!D:D</f>
        <v>1</v>
      </c>
      <c r="I35" s="2" t="str">
        <f t="shared" si="1"/>
        <v>D221D220</v>
      </c>
    </row>
    <row r="36" ht="15.75" customHeight="1">
      <c r="A36" s="2">
        <f>course_requisites!A:A</f>
        <v>27</v>
      </c>
      <c r="B36" s="2" t="str">
        <f>course_requisites!B:B</f>
        <v>D221</v>
      </c>
      <c r="C36" s="11" t="str">
        <f>course_requisites!C:C</f>
        <v>C121</v>
      </c>
      <c r="D36" s="10">
        <f>VLOOKUP(B36,courses_program1!A:C,2,0)</f>
        <v>-6.6</v>
      </c>
      <c r="E36" s="10">
        <f>VLOOKUP(B36,courses_program1!A:C,3,0)</f>
        <v>12</v>
      </c>
      <c r="F36" s="10">
        <f>VLOOKUP(C36,courses_program1!A:C,2,0)</f>
        <v>-7.1</v>
      </c>
      <c r="G36" s="10">
        <f>VLOOKUP(C36,courses_program1!A:C,3,0)</f>
        <v>9</v>
      </c>
      <c r="H36" s="2">
        <f>course_requisites!D:D</f>
        <v>0</v>
      </c>
      <c r="I36" s="2" t="str">
        <f t="shared" si="1"/>
        <v>D221C121</v>
      </c>
    </row>
    <row r="37" ht="15.75" customHeight="1">
      <c r="A37" s="2">
        <f>course_requisites!A:A</f>
        <v>27</v>
      </c>
      <c r="B37" s="2" t="str">
        <f>course_requisites!B:B</f>
        <v>D221</v>
      </c>
      <c r="C37" s="11" t="str">
        <f>course_requisites!C:C</f>
        <v>C203</v>
      </c>
      <c r="D37" s="10">
        <f>VLOOKUP(B37,courses_program1!A:C,2,0)</f>
        <v>-6.6</v>
      </c>
      <c r="E37" s="10">
        <f>VLOOKUP(B37,courses_program1!A:C,3,0)</f>
        <v>12</v>
      </c>
      <c r="F37" s="10">
        <f>VLOOKUP(C37,courses_program1!A:C,2,0)</f>
        <v>-1.2</v>
      </c>
      <c r="G37" s="10">
        <f>VLOOKUP(C37,courses_program1!A:C,3,0)</f>
        <v>3</v>
      </c>
      <c r="H37" s="2">
        <f>course_requisites!D:D</f>
        <v>0</v>
      </c>
      <c r="I37" s="2" t="str">
        <f t="shared" si="1"/>
        <v>D221C203</v>
      </c>
    </row>
    <row r="38" ht="15.75" customHeight="1">
      <c r="A38" s="2">
        <f>course_requisites!A:A</f>
        <v>28</v>
      </c>
      <c r="B38" s="2" t="str">
        <f>course_requisites!B:B</f>
        <v>D310</v>
      </c>
      <c r="C38" s="11" t="str">
        <f>course_requisites!C:C</f>
        <v>D100</v>
      </c>
      <c r="D38" s="10">
        <f>VLOOKUP(B38,courses_program1!A:C,2,0)</f>
        <v>4.1</v>
      </c>
      <c r="E38" s="10">
        <f>VLOOKUP(B38,courses_program1!A:C,3,0)</f>
        <v>18</v>
      </c>
      <c r="F38" s="10">
        <f>VLOOKUP(C38,courses_program1!A:C,2,0)</f>
        <v>0</v>
      </c>
      <c r="G38" s="10">
        <f>VLOOKUP(C38,courses_program1!A:C,3,0)</f>
        <v>0</v>
      </c>
      <c r="H38" s="2">
        <f>course_requisites!D:D</f>
        <v>1</v>
      </c>
      <c r="I38" s="2" t="str">
        <f t="shared" si="1"/>
        <v>D310D100</v>
      </c>
    </row>
    <row r="39" ht="15.75" customHeight="1">
      <c r="A39" s="2">
        <f>course_requisites!A:A</f>
        <v>29</v>
      </c>
      <c r="B39" s="2" t="str">
        <f>course_requisites!B:B</f>
        <v>D310</v>
      </c>
      <c r="C39" s="11" t="str">
        <f>course_requisites!C:C</f>
        <v>C203</v>
      </c>
      <c r="D39" s="10">
        <f>VLOOKUP(B39,courses_program1!A:C,2,0)</f>
        <v>4.1</v>
      </c>
      <c r="E39" s="10">
        <f>VLOOKUP(B39,courses_program1!A:C,3,0)</f>
        <v>18</v>
      </c>
      <c r="F39" s="10">
        <f>VLOOKUP(C39,courses_program1!A:C,2,0)</f>
        <v>-1.2</v>
      </c>
      <c r="G39" s="10">
        <f>VLOOKUP(C39,courses_program1!A:C,3,0)</f>
        <v>3</v>
      </c>
      <c r="H39" s="2">
        <f>course_requisites!D:D</f>
        <v>1</v>
      </c>
      <c r="I39" s="2" t="str">
        <f t="shared" si="1"/>
        <v>D310C203</v>
      </c>
    </row>
    <row r="40" ht="15.75" customHeight="1">
      <c r="A40" s="2">
        <f>course_requisites!A:A</f>
        <v>29</v>
      </c>
      <c r="B40" s="2" t="str">
        <f>course_requisites!B:B</f>
        <v>D310</v>
      </c>
      <c r="C40" s="11" t="str">
        <f>course_requisites!C:C</f>
        <v>C210</v>
      </c>
      <c r="D40" s="10">
        <f>VLOOKUP(B40,courses_program1!A:C,2,0)</f>
        <v>4.1</v>
      </c>
      <c r="E40" s="10">
        <f>VLOOKUP(B40,courses_program1!A:C,3,0)</f>
        <v>18</v>
      </c>
      <c r="F40" s="10">
        <f>VLOOKUP(C40,courses_program1!A:C,2,0)</f>
        <v>-4.3</v>
      </c>
      <c r="G40" s="10">
        <f>VLOOKUP(C40,courses_program1!A:C,3,0)</f>
        <v>9</v>
      </c>
      <c r="H40" s="2">
        <f>course_requisites!D:D</f>
        <v>1</v>
      </c>
      <c r="I40" s="2" t="str">
        <f t="shared" si="1"/>
        <v>D310C210</v>
      </c>
    </row>
    <row r="41" ht="15.75" customHeight="1">
      <c r="A41" s="2">
        <f>course_requisites!A:A</f>
        <v>29</v>
      </c>
      <c r="B41" s="2" t="str">
        <f>course_requisites!B:B</f>
        <v>D310</v>
      </c>
      <c r="C41" s="11" t="str">
        <f>course_requisites!C:C</f>
        <v>M210</v>
      </c>
      <c r="D41" s="10">
        <f>VLOOKUP(B41,courses_program1!A:C,2,0)</f>
        <v>4.1</v>
      </c>
      <c r="E41" s="10">
        <f>VLOOKUP(B41,courses_program1!A:C,3,0)</f>
        <v>18</v>
      </c>
      <c r="F41" s="10">
        <f>VLOOKUP(C41,courses_program1!A:C,2,0)</f>
        <v>1.9</v>
      </c>
      <c r="G41" s="10">
        <f>VLOOKUP(C41,courses_program1!A:C,3,0)</f>
        <v>15</v>
      </c>
      <c r="H41" s="2">
        <f>course_requisites!D:D</f>
        <v>0</v>
      </c>
      <c r="I41" s="2" t="str">
        <f t="shared" si="1"/>
        <v>D310M210</v>
      </c>
    </row>
    <row r="42" ht="15.75" customHeight="1">
      <c r="A42" s="2">
        <f>course_requisites!A:A</f>
        <v>29</v>
      </c>
      <c r="B42" s="2" t="str">
        <f>course_requisites!B:B</f>
        <v>D310</v>
      </c>
      <c r="C42" s="11" t="str">
        <f>course_requisites!C:C</f>
        <v>C107</v>
      </c>
      <c r="D42" s="10">
        <f>VLOOKUP(B42,courses_program1!A:C,2,0)</f>
        <v>4.1</v>
      </c>
      <c r="E42" s="10">
        <f>VLOOKUP(B42,courses_program1!A:C,3,0)</f>
        <v>18</v>
      </c>
      <c r="F42" s="10">
        <f>VLOOKUP(C42,courses_program1!A:C,2,0)</f>
        <v>-3.6</v>
      </c>
      <c r="G42" s="10">
        <f>VLOOKUP(C42,courses_program1!A:C,3,0)</f>
        <v>3</v>
      </c>
      <c r="H42" s="2">
        <f>course_requisites!D:D</f>
        <v>0</v>
      </c>
      <c r="I42" s="2" t="str">
        <f t="shared" si="1"/>
        <v>D310C107</v>
      </c>
    </row>
    <row r="43" ht="15.75" customHeight="1">
      <c r="A43" s="2">
        <f>course_requisites!A:A</f>
        <v>29</v>
      </c>
      <c r="B43" s="2" t="str">
        <f>course_requisites!B:B</f>
        <v>D310</v>
      </c>
      <c r="C43" s="11" t="str">
        <f>course_requisites!C:C</f>
        <v>C110</v>
      </c>
      <c r="D43" s="10">
        <f>VLOOKUP(B43,courses_program1!A:C,2,0)</f>
        <v>4.1</v>
      </c>
      <c r="E43" s="10">
        <f>VLOOKUP(B43,courses_program1!A:C,3,0)</f>
        <v>18</v>
      </c>
      <c r="F43" s="10">
        <f>VLOOKUP(C43,courses_program1!A:C,2,0)</f>
        <v>-2</v>
      </c>
      <c r="G43" s="10">
        <f>VLOOKUP(C43,courses_program1!A:C,3,0)</f>
        <v>0</v>
      </c>
      <c r="H43" s="2">
        <f>course_requisites!D:D</f>
        <v>0</v>
      </c>
      <c r="I43" s="2" t="str">
        <f t="shared" si="1"/>
        <v>D310C110</v>
      </c>
    </row>
    <row r="44" ht="15.75" customHeight="1">
      <c r="A44" s="2">
        <f>course_requisites!A:A</f>
        <v>30</v>
      </c>
      <c r="B44" s="2" t="str">
        <f>course_requisites!B:B</f>
        <v>D320</v>
      </c>
      <c r="C44" s="11" t="str">
        <f>course_requisites!C:C</f>
        <v>S201</v>
      </c>
      <c r="D44" s="10">
        <f>VLOOKUP(B44,courses_program1!A:C,2,0)</f>
        <v>-1.9</v>
      </c>
      <c r="E44" s="10">
        <f>VLOOKUP(B44,courses_program1!A:C,3,0)</f>
        <v>15</v>
      </c>
      <c r="F44" s="10">
        <f>VLOOKUP(C44,courses_program1!A:C,2,0)</f>
        <v>0</v>
      </c>
      <c r="G44" s="10">
        <f>VLOOKUP(C44,courses_program1!A:C,3,0)</f>
        <v>6</v>
      </c>
      <c r="H44" s="2">
        <f>course_requisites!D:D</f>
        <v>1</v>
      </c>
      <c r="I44" s="2" t="str">
        <f t="shared" si="1"/>
        <v>D320S201</v>
      </c>
    </row>
    <row r="45" ht="15.75" customHeight="1">
      <c r="A45" s="2">
        <f>course_requisites!A:A</f>
        <v>31</v>
      </c>
      <c r="B45" s="2" t="str">
        <f>course_requisites!B:B</f>
        <v>D320</v>
      </c>
      <c r="C45" s="11" t="str">
        <f>course_requisites!C:C</f>
        <v>C203</v>
      </c>
      <c r="D45" s="10">
        <f>VLOOKUP(B45,courses_program1!A:C,2,0)</f>
        <v>-1.9</v>
      </c>
      <c r="E45" s="10">
        <f>VLOOKUP(B45,courses_program1!A:C,3,0)</f>
        <v>15</v>
      </c>
      <c r="F45" s="10">
        <f>VLOOKUP(C45,courses_program1!A:C,2,0)</f>
        <v>-1.2</v>
      </c>
      <c r="G45" s="10">
        <f>VLOOKUP(C45,courses_program1!A:C,3,0)</f>
        <v>3</v>
      </c>
      <c r="H45" s="2">
        <f>course_requisites!D:D</f>
        <v>1</v>
      </c>
      <c r="I45" s="2" t="str">
        <f t="shared" si="1"/>
        <v>D320C203</v>
      </c>
    </row>
    <row r="46" ht="15.75" customHeight="1">
      <c r="A46" s="2">
        <f>course_requisites!A:A</f>
        <v>31</v>
      </c>
      <c r="B46" s="2" t="str">
        <f>course_requisites!B:B</f>
        <v>D320</v>
      </c>
      <c r="C46" s="11" t="str">
        <f>course_requisites!C:C</f>
        <v>C210</v>
      </c>
      <c r="D46" s="10">
        <f>VLOOKUP(B46,courses_program1!A:C,2,0)</f>
        <v>-1.9</v>
      </c>
      <c r="E46" s="10">
        <f>VLOOKUP(B46,courses_program1!A:C,3,0)</f>
        <v>15</v>
      </c>
      <c r="F46" s="10">
        <f>VLOOKUP(C46,courses_program1!A:C,2,0)</f>
        <v>-4.3</v>
      </c>
      <c r="G46" s="10">
        <f>VLOOKUP(C46,courses_program1!A:C,3,0)</f>
        <v>9</v>
      </c>
      <c r="H46" s="2">
        <f>course_requisites!D:D</f>
        <v>1</v>
      </c>
      <c r="I46" s="2" t="str">
        <f t="shared" si="1"/>
        <v>D320C210</v>
      </c>
    </row>
    <row r="47" ht="15.75" customHeight="1">
      <c r="A47" s="2">
        <f>course_requisites!A:A</f>
        <v>31</v>
      </c>
      <c r="B47" s="2" t="str">
        <f>course_requisites!B:B</f>
        <v>D320</v>
      </c>
      <c r="C47" s="11" t="str">
        <f>course_requisites!C:C</f>
        <v>D221</v>
      </c>
      <c r="D47" s="10">
        <f>VLOOKUP(B47,courses_program1!A:C,2,0)</f>
        <v>-1.9</v>
      </c>
      <c r="E47" s="10">
        <f>VLOOKUP(B47,courses_program1!A:C,3,0)</f>
        <v>15</v>
      </c>
      <c r="F47" s="10">
        <f>VLOOKUP(C47,courses_program1!A:C,2,0)</f>
        <v>-6.6</v>
      </c>
      <c r="G47" s="10">
        <f>VLOOKUP(C47,courses_program1!A:C,3,0)</f>
        <v>12</v>
      </c>
      <c r="H47" s="2">
        <f>course_requisites!D:D</f>
        <v>1</v>
      </c>
      <c r="I47" s="2" t="str">
        <f t="shared" si="1"/>
        <v>D320D221</v>
      </c>
    </row>
    <row r="48" ht="15.75" customHeight="1">
      <c r="A48" s="2">
        <f>course_requisites!A:A</f>
        <v>32</v>
      </c>
      <c r="B48" s="2" t="str">
        <f>course_requisites!B:B</f>
        <v>D430</v>
      </c>
      <c r="C48" s="11" t="str">
        <f>course_requisites!C:C</f>
        <v>C330</v>
      </c>
      <c r="D48" s="10">
        <f>VLOOKUP(B48,courses_program1!A:C,2,0)</f>
        <v>0</v>
      </c>
      <c r="E48" s="10">
        <f>VLOOKUP(B48,courses_program1!A:C,3,0)</f>
        <v>24</v>
      </c>
      <c r="F48" s="10">
        <f>VLOOKUP(C48,courses_program1!A:C,2,0)</f>
        <v>-4.1</v>
      </c>
      <c r="G48" s="10">
        <f>VLOOKUP(C48,courses_program1!A:C,3,0)</f>
        <v>18</v>
      </c>
      <c r="H48" s="2">
        <f>course_requisites!D:D</f>
        <v>1</v>
      </c>
      <c r="I48" s="2" t="str">
        <f t="shared" si="1"/>
        <v>D430C330</v>
      </c>
    </row>
    <row r="49" ht="15.75" customHeight="1">
      <c r="A49" s="2">
        <f>course_requisites!A:A</f>
        <v>32</v>
      </c>
      <c r="B49" s="2" t="str">
        <f>course_requisites!B:B</f>
        <v>D430</v>
      </c>
      <c r="C49" s="11" t="str">
        <f>course_requisites!C:C</f>
        <v>C340</v>
      </c>
      <c r="D49" s="10">
        <f>VLOOKUP(B49,courses_program1!A:C,2,0)</f>
        <v>0</v>
      </c>
      <c r="E49" s="10">
        <f>VLOOKUP(B49,courses_program1!A:C,3,0)</f>
        <v>24</v>
      </c>
      <c r="F49" s="10">
        <f>VLOOKUP(C49,courses_program1!A:C,2,0)</f>
        <v>0</v>
      </c>
      <c r="G49" s="10">
        <f>VLOOKUP(C49,courses_program1!A:C,3,0)</f>
        <v>18</v>
      </c>
      <c r="H49" s="2">
        <f>course_requisites!D:D</f>
        <v>1</v>
      </c>
      <c r="I49" s="2" t="str">
        <f t="shared" si="1"/>
        <v>D430C340</v>
      </c>
    </row>
    <row r="50" ht="15.75" customHeight="1">
      <c r="A50" s="2">
        <f>course_requisites!A:A</f>
        <v>32</v>
      </c>
      <c r="B50" s="2" t="str">
        <f>course_requisites!B:B</f>
        <v>D430</v>
      </c>
      <c r="C50" s="11" t="str">
        <f>course_requisites!C:C</f>
        <v>S301</v>
      </c>
      <c r="D50" s="10">
        <f>VLOOKUP(B50,courses_program1!A:C,2,0)</f>
        <v>0</v>
      </c>
      <c r="E50" s="10">
        <f>VLOOKUP(B50,courses_program1!A:C,3,0)</f>
        <v>24</v>
      </c>
      <c r="F50" s="10">
        <f>VLOOKUP(C50,courses_program1!A:C,2,0)</f>
        <v>7.1</v>
      </c>
      <c r="G50" s="10">
        <f>VLOOKUP(C50,courses_program1!A:C,3,0)</f>
        <v>9</v>
      </c>
      <c r="H50" s="2">
        <f>course_requisites!D:D</f>
        <v>1</v>
      </c>
      <c r="I50" s="2" t="str">
        <f t="shared" si="1"/>
        <v>D430S301</v>
      </c>
    </row>
    <row r="51" ht="15.75" customHeight="1">
      <c r="A51" s="2">
        <f>course_requisites!A:A</f>
        <v>32</v>
      </c>
      <c r="B51" s="2" t="str">
        <f>course_requisites!B:B</f>
        <v>D430</v>
      </c>
      <c r="C51" s="11" t="str">
        <f>course_requisites!C:C</f>
        <v>S406</v>
      </c>
      <c r="D51" s="10">
        <f>VLOOKUP(B51,courses_program1!A:C,2,0)</f>
        <v>0</v>
      </c>
      <c r="E51" s="10">
        <f>VLOOKUP(B51,courses_program1!A:C,3,0)</f>
        <v>24</v>
      </c>
      <c r="F51" s="10">
        <f>VLOOKUP(C51,courses_program1!A:C,2,0)</f>
        <v>0</v>
      </c>
      <c r="G51" s="10">
        <f>VLOOKUP(C51,courses_program1!A:C,3,0)</f>
        <v>21</v>
      </c>
      <c r="H51" s="2">
        <f>course_requisites!D:D</f>
        <v>1</v>
      </c>
      <c r="I51" s="2" t="str">
        <f t="shared" si="1"/>
        <v>D430S406</v>
      </c>
    </row>
    <row r="52" ht="15.75" customHeight="1">
      <c r="A52" s="2">
        <f>course_requisites!A:A</f>
        <v>33</v>
      </c>
      <c r="B52" s="2" t="str">
        <f>course_requisites!B:B</f>
        <v>C107</v>
      </c>
      <c r="C52" s="11" t="str">
        <f>course_requisites!C:C</f>
        <v>C103</v>
      </c>
      <c r="D52" s="10">
        <f>VLOOKUP(B52,courses_program1!A:C,2,0)</f>
        <v>-3.6</v>
      </c>
      <c r="E52" s="10">
        <f>VLOOKUP(B52,courses_program1!A:C,3,0)</f>
        <v>3</v>
      </c>
      <c r="F52" s="10">
        <f>VLOOKUP(C52,courses_program1!A:C,2,0)</f>
        <v>-4</v>
      </c>
      <c r="G52" s="10">
        <f>VLOOKUP(C52,courses_program1!A:C,3,0)</f>
        <v>0</v>
      </c>
      <c r="H52" s="2">
        <f>course_requisites!D:D</f>
        <v>1</v>
      </c>
      <c r="I52" s="2" t="str">
        <f t="shared" si="1"/>
        <v>C107C103</v>
      </c>
    </row>
    <row r="53" ht="15.75" customHeight="1">
      <c r="A53" s="2">
        <f>course_requisites!A:A</f>
        <v>35</v>
      </c>
      <c r="B53" s="2" t="str">
        <f>course_requisites!B:B</f>
        <v>C121</v>
      </c>
      <c r="C53" s="11" t="str">
        <f>course_requisites!C:C</f>
        <v>C107</v>
      </c>
      <c r="D53" s="10">
        <f>VLOOKUP(B53,courses_program1!A:C,2,0)</f>
        <v>-7.1</v>
      </c>
      <c r="E53" s="10">
        <f>VLOOKUP(B53,courses_program1!A:C,3,0)</f>
        <v>9</v>
      </c>
      <c r="F53" s="10">
        <f>VLOOKUP(C53,courses_program1!A:C,2,0)</f>
        <v>-3.6</v>
      </c>
      <c r="G53" s="10">
        <f>VLOOKUP(C53,courses_program1!A:C,3,0)</f>
        <v>3</v>
      </c>
      <c r="H53" s="2">
        <f>course_requisites!D:D</f>
        <v>1</v>
      </c>
      <c r="I53" s="2" t="str">
        <f t="shared" si="1"/>
        <v>C121C107</v>
      </c>
    </row>
    <row r="54" ht="15.75" customHeight="1">
      <c r="A54" s="2">
        <f>course_requisites!A:A</f>
        <v>35</v>
      </c>
      <c r="B54" s="2" t="str">
        <f>course_requisites!B:B</f>
        <v>C121</v>
      </c>
      <c r="C54" s="11" t="str">
        <f>course_requisites!C:C</f>
        <v>C110</v>
      </c>
      <c r="D54" s="10">
        <f>VLOOKUP(B54,courses_program1!A:C,2,0)</f>
        <v>-7.1</v>
      </c>
      <c r="E54" s="10">
        <f>VLOOKUP(B54,courses_program1!A:C,3,0)</f>
        <v>9</v>
      </c>
      <c r="F54" s="10">
        <f>VLOOKUP(C54,courses_program1!A:C,2,0)</f>
        <v>-2</v>
      </c>
      <c r="G54" s="10">
        <f>VLOOKUP(C54,courses_program1!A:C,3,0)</f>
        <v>0</v>
      </c>
      <c r="H54" s="2">
        <f>course_requisites!D:D</f>
        <v>1</v>
      </c>
      <c r="I54" s="2" t="str">
        <f t="shared" si="1"/>
        <v>C121C110</v>
      </c>
    </row>
    <row r="55" ht="15.75" customHeight="1">
      <c r="A55" s="2">
        <f>course_requisites!A:A</f>
        <v>36</v>
      </c>
      <c r="B55" s="2" t="str">
        <f>course_requisites!B:B</f>
        <v>C203</v>
      </c>
      <c r="C55" s="11" t="str">
        <f>course_requisites!C:C</f>
        <v>C103</v>
      </c>
      <c r="D55" s="10">
        <f>VLOOKUP(B55,courses_program1!A:C,2,0)</f>
        <v>-1.2</v>
      </c>
      <c r="E55" s="10">
        <f>VLOOKUP(B55,courses_program1!A:C,3,0)</f>
        <v>3</v>
      </c>
      <c r="F55" s="10">
        <f>VLOOKUP(C55,courses_program1!A:C,2,0)</f>
        <v>-4</v>
      </c>
      <c r="G55" s="10">
        <f>VLOOKUP(C55,courses_program1!A:C,3,0)</f>
        <v>0</v>
      </c>
      <c r="H55" s="2">
        <f>course_requisites!D:D</f>
        <v>1</v>
      </c>
      <c r="I55" s="2" t="str">
        <f t="shared" si="1"/>
        <v>C203C103</v>
      </c>
    </row>
    <row r="56" ht="15.75" customHeight="1">
      <c r="A56" s="2">
        <f>course_requisites!A:A</f>
        <v>36</v>
      </c>
      <c r="B56" s="2" t="str">
        <f>course_requisites!B:B</f>
        <v>C203</v>
      </c>
      <c r="C56" s="11" t="str">
        <f>course_requisites!C:C</f>
        <v>C110</v>
      </c>
      <c r="D56" s="10">
        <f>VLOOKUP(B56,courses_program1!A:C,2,0)</f>
        <v>-1.2</v>
      </c>
      <c r="E56" s="10">
        <f>VLOOKUP(B56,courses_program1!A:C,3,0)</f>
        <v>3</v>
      </c>
      <c r="F56" s="10">
        <f>VLOOKUP(C56,courses_program1!A:C,2,0)</f>
        <v>-2</v>
      </c>
      <c r="G56" s="10">
        <f>VLOOKUP(C56,courses_program1!A:C,3,0)</f>
        <v>0</v>
      </c>
      <c r="H56" s="2">
        <f>course_requisites!D:D</f>
        <v>1</v>
      </c>
      <c r="I56" s="2" t="str">
        <f t="shared" si="1"/>
        <v>C203C110</v>
      </c>
    </row>
    <row r="57" ht="15.75" customHeight="1">
      <c r="A57" s="2">
        <f>course_requisites!A:A</f>
        <v>37</v>
      </c>
      <c r="B57" s="2" t="str">
        <f>course_requisites!B:B</f>
        <v>C210</v>
      </c>
      <c r="C57" s="11" t="str">
        <f>course_requisites!C:C</f>
        <v>C107</v>
      </c>
      <c r="D57" s="10">
        <f>VLOOKUP(B57,courses_program1!A:C,2,0)</f>
        <v>-4.3</v>
      </c>
      <c r="E57" s="10">
        <f>VLOOKUP(B57,courses_program1!A:C,3,0)</f>
        <v>9</v>
      </c>
      <c r="F57" s="10">
        <f>VLOOKUP(C57,courses_program1!A:C,2,0)</f>
        <v>-3.6</v>
      </c>
      <c r="G57" s="10">
        <f>VLOOKUP(C57,courses_program1!A:C,3,0)</f>
        <v>3</v>
      </c>
      <c r="H57" s="2">
        <f>course_requisites!D:D</f>
        <v>1</v>
      </c>
      <c r="I57" s="2" t="str">
        <f t="shared" si="1"/>
        <v>C210C107</v>
      </c>
    </row>
    <row r="58" ht="15.75" customHeight="1">
      <c r="A58" s="2">
        <f>course_requisites!A:A</f>
        <v>37</v>
      </c>
      <c r="B58" s="2" t="str">
        <f>course_requisites!B:B</f>
        <v>C210</v>
      </c>
      <c r="C58" s="11" t="str">
        <f>course_requisites!C:C</f>
        <v>C110</v>
      </c>
      <c r="D58" s="10">
        <f>VLOOKUP(B58,courses_program1!A:C,2,0)</f>
        <v>-4.3</v>
      </c>
      <c r="E58" s="10">
        <f>VLOOKUP(B58,courses_program1!A:C,3,0)</f>
        <v>9</v>
      </c>
      <c r="F58" s="10">
        <f>VLOOKUP(C58,courses_program1!A:C,2,0)</f>
        <v>-2</v>
      </c>
      <c r="G58" s="10">
        <f>VLOOKUP(C58,courses_program1!A:C,3,0)</f>
        <v>0</v>
      </c>
      <c r="H58" s="2">
        <f>course_requisites!D:D</f>
        <v>1</v>
      </c>
      <c r="I58" s="2" t="str">
        <f t="shared" si="1"/>
        <v>C210C110</v>
      </c>
    </row>
    <row r="59" ht="15.75" customHeight="1">
      <c r="A59" s="2">
        <f>course_requisites!A:A</f>
        <v>38</v>
      </c>
      <c r="B59" s="2" t="str">
        <f>course_requisites!B:B</f>
        <v>C330</v>
      </c>
      <c r="C59" s="11" t="str">
        <f>course_requisites!C:C</f>
        <v>C203</v>
      </c>
      <c r="D59" s="10">
        <f>VLOOKUP(B59,courses_program1!A:C,2,0)</f>
        <v>-4.1</v>
      </c>
      <c r="E59" s="10">
        <f>VLOOKUP(B59,courses_program1!A:C,3,0)</f>
        <v>18</v>
      </c>
      <c r="F59" s="10">
        <f>VLOOKUP(C59,courses_program1!A:C,2,0)</f>
        <v>-1.2</v>
      </c>
      <c r="G59" s="10">
        <f>VLOOKUP(C59,courses_program1!A:C,3,0)</f>
        <v>3</v>
      </c>
      <c r="H59" s="2">
        <f>course_requisites!D:D</f>
        <v>1</v>
      </c>
      <c r="I59" s="2" t="str">
        <f t="shared" si="1"/>
        <v>C330C203</v>
      </c>
    </row>
    <row r="60" ht="15.75" customHeight="1">
      <c r="A60" s="2">
        <f>course_requisites!A:A</f>
        <v>38</v>
      </c>
      <c r="B60" s="2" t="str">
        <f>course_requisites!B:B</f>
        <v>C330</v>
      </c>
      <c r="C60" s="11" t="str">
        <f>course_requisites!C:C</f>
        <v>C210</v>
      </c>
      <c r="D60" s="10">
        <f>VLOOKUP(B60,courses_program1!A:C,2,0)</f>
        <v>-4.1</v>
      </c>
      <c r="E60" s="10">
        <f>VLOOKUP(B60,courses_program1!A:C,3,0)</f>
        <v>18</v>
      </c>
      <c r="F60" s="10">
        <f>VLOOKUP(C60,courses_program1!A:C,2,0)</f>
        <v>-4.3</v>
      </c>
      <c r="G60" s="10">
        <f>VLOOKUP(C60,courses_program1!A:C,3,0)</f>
        <v>9</v>
      </c>
      <c r="H60" s="2">
        <f>course_requisites!D:D</f>
        <v>1</v>
      </c>
      <c r="I60" s="2" t="str">
        <f t="shared" si="1"/>
        <v>C330C210</v>
      </c>
    </row>
    <row r="61" ht="15.75" customHeight="1">
      <c r="A61" s="2">
        <f>course_requisites!A:A</f>
        <v>38</v>
      </c>
      <c r="B61" s="2" t="str">
        <f>course_requisites!B:B</f>
        <v>C330</v>
      </c>
      <c r="C61" s="11" t="str">
        <f>course_requisites!C:C</f>
        <v>D221</v>
      </c>
      <c r="D61" s="10">
        <f>VLOOKUP(B61,courses_program1!A:C,2,0)</f>
        <v>-4.1</v>
      </c>
      <c r="E61" s="10">
        <f>VLOOKUP(B61,courses_program1!A:C,3,0)</f>
        <v>18</v>
      </c>
      <c r="F61" s="10">
        <f>VLOOKUP(C61,courses_program1!A:C,2,0)</f>
        <v>-6.6</v>
      </c>
      <c r="G61" s="10">
        <f>VLOOKUP(C61,courses_program1!A:C,3,0)</f>
        <v>12</v>
      </c>
      <c r="H61" s="2">
        <f>course_requisites!D:D</f>
        <v>1</v>
      </c>
      <c r="I61" s="2" t="str">
        <f t="shared" si="1"/>
        <v>C330D221</v>
      </c>
    </row>
    <row r="62" ht="15.75" customHeight="1">
      <c r="A62" s="2">
        <f>course_requisites!A:A</f>
        <v>38</v>
      </c>
      <c r="B62" s="2" t="str">
        <f>course_requisites!B:B</f>
        <v>C330</v>
      </c>
      <c r="C62" s="11" t="str">
        <f>course_requisites!C:C</f>
        <v>M210</v>
      </c>
      <c r="D62" s="10">
        <f>VLOOKUP(B62,courses_program1!A:C,2,0)</f>
        <v>-4.1</v>
      </c>
      <c r="E62" s="10">
        <f>VLOOKUP(B62,courses_program1!A:C,3,0)</f>
        <v>18</v>
      </c>
      <c r="F62" s="10">
        <f>VLOOKUP(C62,courses_program1!A:C,2,0)</f>
        <v>1.9</v>
      </c>
      <c r="G62" s="10">
        <f>VLOOKUP(C62,courses_program1!A:C,3,0)</f>
        <v>15</v>
      </c>
      <c r="H62" s="2">
        <f>course_requisites!D:D</f>
        <v>0</v>
      </c>
      <c r="I62" s="2" t="str">
        <f t="shared" si="1"/>
        <v>C330M210</v>
      </c>
    </row>
    <row r="63" ht="15.75" customHeight="1">
      <c r="A63" s="2">
        <f>course_requisites!A:A</f>
        <v>38</v>
      </c>
      <c r="B63" s="2" t="str">
        <f>course_requisites!B:B</f>
        <v>C330</v>
      </c>
      <c r="C63" s="11" t="str">
        <f>course_requisites!C:C</f>
        <v>C107</v>
      </c>
      <c r="D63" s="10">
        <f>VLOOKUP(B63,courses_program1!A:C,2,0)</f>
        <v>-4.1</v>
      </c>
      <c r="E63" s="10">
        <f>VLOOKUP(B63,courses_program1!A:C,3,0)</f>
        <v>18</v>
      </c>
      <c r="F63" s="10">
        <f>VLOOKUP(C63,courses_program1!A:C,2,0)</f>
        <v>-3.6</v>
      </c>
      <c r="G63" s="10">
        <f>VLOOKUP(C63,courses_program1!A:C,3,0)</f>
        <v>3</v>
      </c>
      <c r="H63" s="2">
        <f>course_requisites!D:D</f>
        <v>0</v>
      </c>
      <c r="I63" s="2" t="str">
        <f t="shared" si="1"/>
        <v>C330C107</v>
      </c>
    </row>
    <row r="64" ht="15.75" customHeight="1">
      <c r="A64" s="2">
        <f>course_requisites!A:A</f>
        <v>38</v>
      </c>
      <c r="B64" s="2" t="str">
        <f>course_requisites!B:B</f>
        <v>C330</v>
      </c>
      <c r="C64" s="11" t="str">
        <f>course_requisites!C:C</f>
        <v>C110</v>
      </c>
      <c r="D64" s="10">
        <f>VLOOKUP(B64,courses_program1!A:C,2,0)</f>
        <v>-4.1</v>
      </c>
      <c r="E64" s="10">
        <f>VLOOKUP(B64,courses_program1!A:C,3,0)</f>
        <v>18</v>
      </c>
      <c r="F64" s="10">
        <f>VLOOKUP(C64,courses_program1!A:C,2,0)</f>
        <v>-2</v>
      </c>
      <c r="G64" s="10">
        <f>VLOOKUP(C64,courses_program1!A:C,3,0)</f>
        <v>0</v>
      </c>
      <c r="H64" s="2">
        <f>course_requisites!D:D</f>
        <v>0</v>
      </c>
      <c r="I64" s="2" t="str">
        <f t="shared" si="1"/>
        <v>C330C110</v>
      </c>
    </row>
    <row r="65" ht="15.75" customHeight="1">
      <c r="A65" s="2">
        <f>course_requisites!A:A</f>
        <v>39</v>
      </c>
      <c r="B65" s="2" t="str">
        <f>course_requisites!B:B</f>
        <v>C340</v>
      </c>
      <c r="C65" s="11" t="str">
        <f>course_requisites!C:C</f>
        <v>C221</v>
      </c>
      <c r="D65" s="10">
        <f>VLOOKUP(B65,courses_program1!A:C,2,0)</f>
        <v>0</v>
      </c>
      <c r="E65" s="10">
        <f>VLOOKUP(B65,courses_program1!A:C,3,0)</f>
        <v>18</v>
      </c>
      <c r="F65" s="10">
        <f>VLOOKUP(C65,courses_program1!A:C,2,0)</f>
        <v>-5.6</v>
      </c>
      <c r="G65" s="10">
        <f>VLOOKUP(C65,courses_program1!A:C,3,0)</f>
        <v>15</v>
      </c>
      <c r="H65" s="2">
        <f>course_requisites!D:D</f>
        <v>1</v>
      </c>
      <c r="I65" s="2" t="str">
        <f t="shared" si="1"/>
        <v>C340C221</v>
      </c>
    </row>
    <row r="66" ht="15.75" customHeight="1">
      <c r="A66" s="2">
        <f>course_requisites!A:A</f>
        <v>39</v>
      </c>
      <c r="B66" s="2" t="str">
        <f>course_requisites!B:B</f>
        <v>C340</v>
      </c>
      <c r="C66" s="11" t="str">
        <f>course_requisites!C:C</f>
        <v>D221</v>
      </c>
      <c r="D66" s="10">
        <f>VLOOKUP(B66,courses_program1!A:C,2,0)</f>
        <v>0</v>
      </c>
      <c r="E66" s="10">
        <f>VLOOKUP(B66,courses_program1!A:C,3,0)</f>
        <v>18</v>
      </c>
      <c r="F66" s="10">
        <f>VLOOKUP(C66,courses_program1!A:C,2,0)</f>
        <v>-6.6</v>
      </c>
      <c r="G66" s="10">
        <f>VLOOKUP(C66,courses_program1!A:C,3,0)</f>
        <v>12</v>
      </c>
      <c r="H66" s="2">
        <f>course_requisites!D:D</f>
        <v>1</v>
      </c>
      <c r="I66" s="2" t="str">
        <f t="shared" si="1"/>
        <v>C340D221</v>
      </c>
    </row>
    <row r="67" ht="15.75" customHeight="1">
      <c r="A67" s="2">
        <f>course_requisites!A:A</f>
        <v>40</v>
      </c>
      <c r="B67" s="2" t="str">
        <f>course_requisites!B:B</f>
        <v>C340</v>
      </c>
      <c r="C67" s="11" t="str">
        <f>course_requisites!C:C</f>
        <v>M221</v>
      </c>
      <c r="D67" s="10">
        <f>VLOOKUP(B67,courses_program1!A:C,2,0)</f>
        <v>0</v>
      </c>
      <c r="E67" s="10">
        <f>VLOOKUP(B67,courses_program1!A:C,3,0)</f>
        <v>18</v>
      </c>
      <c r="F67" s="10">
        <f>VLOOKUP(C67,courses_program1!A:C,2,0)</f>
        <v>-2.4</v>
      </c>
      <c r="G67" s="10">
        <f>VLOOKUP(C67,courses_program1!A:C,3,0)</f>
        <v>6</v>
      </c>
      <c r="H67" s="2">
        <f>course_requisites!D:D</f>
        <v>1</v>
      </c>
      <c r="I67" s="2" t="str">
        <f t="shared" si="1"/>
        <v>C340M221</v>
      </c>
    </row>
    <row r="68" ht="15.75" customHeight="1">
      <c r="A68" s="2">
        <f>course_requisites!A:A</f>
        <v>41</v>
      </c>
      <c r="B68" s="2" t="str">
        <f>course_requisites!B:B</f>
        <v>C340</v>
      </c>
      <c r="C68" s="11" t="str">
        <f>course_requisites!C:C</f>
        <v>M200</v>
      </c>
      <c r="D68" s="10">
        <f>VLOOKUP(B68,courses_program1!A:C,2,0)</f>
        <v>0</v>
      </c>
      <c r="E68" s="10">
        <f>VLOOKUP(B68,courses_program1!A:C,3,0)</f>
        <v>18</v>
      </c>
      <c r="F68" s="10">
        <f>VLOOKUP(C68,courses_program1!A:C,2,0)</f>
        <v>-1.4</v>
      </c>
      <c r="G68" s="10">
        <f>VLOOKUP(C68,courses_program1!A:C,3,0)</f>
        <v>9</v>
      </c>
      <c r="H68" s="2">
        <f>course_requisites!D:D</f>
        <v>1</v>
      </c>
      <c r="I68" s="2" t="str">
        <f t="shared" si="1"/>
        <v>C340M200</v>
      </c>
    </row>
    <row r="69" ht="15.75" customHeight="1">
      <c r="A69" s="2">
        <f>course_requisites!A:A</f>
        <v>42</v>
      </c>
      <c r="B69" s="2" t="str">
        <f>course_requisites!B:B</f>
        <v>C340</v>
      </c>
      <c r="C69" s="11" t="str">
        <f>course_requisites!C:C</f>
        <v>S251</v>
      </c>
      <c r="D69" s="10">
        <f>VLOOKUP(B69,courses_program1!A:C,2,0)</f>
        <v>0</v>
      </c>
      <c r="E69" s="10">
        <f>VLOOKUP(B69,courses_program1!A:C,3,0)</f>
        <v>18</v>
      </c>
      <c r="F69" s="10">
        <f>VLOOKUP(C69,courses_program1!A:C,2,0)</f>
        <v>4.3</v>
      </c>
      <c r="G69" s="10">
        <f>VLOOKUP(C69,courses_program1!A:C,3,0)</f>
        <v>9</v>
      </c>
      <c r="H69" s="2">
        <f>course_requisites!D:D</f>
        <v>1</v>
      </c>
      <c r="I69" s="2" t="str">
        <f t="shared" si="1"/>
        <v>C340S251</v>
      </c>
    </row>
    <row r="70" ht="15.75" customHeight="1">
      <c r="A70" s="2">
        <f>course_requisites!A:A</f>
        <v>42</v>
      </c>
      <c r="B70" s="2" t="str">
        <f>course_requisites!B:B</f>
        <v>C340</v>
      </c>
      <c r="C70" s="11" t="str">
        <f>course_requisites!C:C</f>
        <v>S302</v>
      </c>
      <c r="D70" s="10">
        <f>VLOOKUP(B70,courses_program1!A:C,2,0)</f>
        <v>0</v>
      </c>
      <c r="E70" s="10">
        <f>VLOOKUP(B70,courses_program1!A:C,3,0)</f>
        <v>18</v>
      </c>
      <c r="F70" s="10">
        <f>VLOOKUP(C70,courses_program1!A:C,2,0)</f>
        <v>6.6</v>
      </c>
      <c r="G70" s="10">
        <f>VLOOKUP(C70,courses_program1!A:C,3,0)</f>
        <v>12</v>
      </c>
      <c r="H70" s="2">
        <f>course_requisites!D:D</f>
        <v>1</v>
      </c>
      <c r="I70" s="2" t="str">
        <f t="shared" si="1"/>
        <v>C340S302</v>
      </c>
    </row>
    <row r="71" ht="15.75" customHeight="1">
      <c r="A71" s="2">
        <f>course_requisites!A:A</f>
        <v>44</v>
      </c>
      <c r="B71" s="2" t="str">
        <f>course_requisites!B:B</f>
        <v>C221</v>
      </c>
      <c r="C71" s="11" t="str">
        <f>course_requisites!C:C</f>
        <v>C210</v>
      </c>
      <c r="D71" s="10">
        <f>VLOOKUP(B71,courses_program1!A:C,2,0)</f>
        <v>-5.6</v>
      </c>
      <c r="E71" s="10">
        <f>VLOOKUP(B71,courses_program1!A:C,3,0)</f>
        <v>15</v>
      </c>
      <c r="F71" s="10">
        <f>VLOOKUP(C71,courses_program1!A:C,2,0)</f>
        <v>-4.3</v>
      </c>
      <c r="G71" s="10">
        <f>VLOOKUP(C71,courses_program1!A:C,3,0)</f>
        <v>9</v>
      </c>
      <c r="H71" s="2">
        <f>course_requisites!D:D</f>
        <v>1</v>
      </c>
      <c r="I71" s="2" t="str">
        <f t="shared" si="1"/>
        <v>C221C210</v>
      </c>
    </row>
    <row r="72" ht="15.75" customHeight="1">
      <c r="A72" s="2">
        <f>course_requisites!A:A</f>
        <v>45</v>
      </c>
      <c r="B72" s="2" t="str">
        <f>course_requisites!B:B</f>
        <v>C221</v>
      </c>
      <c r="C72" s="11" t="str">
        <f>course_requisites!C:C</f>
        <v>C121</v>
      </c>
      <c r="D72" s="10">
        <f>VLOOKUP(B72,courses_program1!A:C,2,0)</f>
        <v>-5.6</v>
      </c>
      <c r="E72" s="10">
        <f>VLOOKUP(B72,courses_program1!A:C,3,0)</f>
        <v>15</v>
      </c>
      <c r="F72" s="10">
        <f>VLOOKUP(C72,courses_program1!A:C,2,0)</f>
        <v>-7.1</v>
      </c>
      <c r="G72" s="10">
        <f>VLOOKUP(C72,courses_program1!A:C,3,0)</f>
        <v>9</v>
      </c>
      <c r="H72" s="2">
        <f>course_requisites!D:D</f>
        <v>1</v>
      </c>
      <c r="I72" s="2" t="str">
        <f t="shared" si="1"/>
        <v>C221C121</v>
      </c>
    </row>
    <row r="73" ht="15.75" customHeight="1">
      <c r="A73" s="2">
        <f>course_requisites!A:A</f>
        <v>45</v>
      </c>
      <c r="B73" s="2" t="str">
        <f>course_requisites!B:B</f>
        <v>C221</v>
      </c>
      <c r="C73" s="11" t="str">
        <f>course_requisites!C:C</f>
        <v>M220</v>
      </c>
      <c r="D73" s="10">
        <f>VLOOKUP(B73,courses_program1!A:C,2,0)</f>
        <v>-5.6</v>
      </c>
      <c r="E73" s="10">
        <f>VLOOKUP(B73,courses_program1!A:C,3,0)</f>
        <v>15</v>
      </c>
      <c r="F73" s="10">
        <f>VLOOKUP(C73,courses_program1!A:C,2,0)</f>
        <v>0</v>
      </c>
      <c r="G73" s="10">
        <f>VLOOKUP(C73,courses_program1!A:C,3,0)</f>
        <v>12</v>
      </c>
      <c r="H73" s="2">
        <f>course_requisites!D:D</f>
        <v>1</v>
      </c>
      <c r="I73" s="2" t="str">
        <f t="shared" si="1"/>
        <v>C221M220</v>
      </c>
    </row>
    <row r="74" ht="15.75" customHeight="1">
      <c r="A74" s="2">
        <f>course_requisites!A:A</f>
        <v>45</v>
      </c>
      <c r="B74" s="2" t="str">
        <f>course_requisites!B:B</f>
        <v>C221</v>
      </c>
      <c r="C74" s="11" t="str">
        <f>course_requisites!C:C</f>
        <v>M200</v>
      </c>
      <c r="D74" s="10">
        <f>VLOOKUP(B74,courses_program1!A:C,2,0)</f>
        <v>-5.6</v>
      </c>
      <c r="E74" s="10">
        <f>VLOOKUP(B74,courses_program1!A:C,3,0)</f>
        <v>15</v>
      </c>
      <c r="F74" s="10">
        <f>VLOOKUP(C74,courses_program1!A:C,2,0)</f>
        <v>-1.4</v>
      </c>
      <c r="G74" s="10">
        <f>VLOOKUP(C74,courses_program1!A:C,3,0)</f>
        <v>9</v>
      </c>
      <c r="H74" s="2">
        <f>course_requisites!D:D</f>
        <v>0</v>
      </c>
      <c r="I74" s="2" t="str">
        <f t="shared" si="1"/>
        <v>C221M200</v>
      </c>
    </row>
    <row r="75" ht="15.75" customHeight="1">
      <c r="A75" s="2">
        <f>course_requisites!A:A</f>
        <v>46</v>
      </c>
      <c r="B75" s="2" t="str">
        <f>course_requisites!B:B</f>
        <v>M220</v>
      </c>
      <c r="C75" s="11" t="str">
        <f>course_requisites!C:C</f>
        <v>M101</v>
      </c>
      <c r="D75" s="10">
        <f>VLOOKUP(B75,courses_program1!A:C,2,0)</f>
        <v>0</v>
      </c>
      <c r="E75" s="10">
        <f>VLOOKUP(B75,courses_program1!A:C,3,0)</f>
        <v>12</v>
      </c>
      <c r="F75" s="10">
        <f>VLOOKUP(C75,courses_program1!A:C,2,0)</f>
        <v>3.6</v>
      </c>
      <c r="G75" s="10">
        <f>VLOOKUP(C75,courses_program1!A:C,3,0)</f>
        <v>3</v>
      </c>
      <c r="H75" s="2">
        <f>course_requisites!D:D</f>
        <v>1</v>
      </c>
      <c r="I75" s="2" t="str">
        <f t="shared" si="1"/>
        <v>M220M101</v>
      </c>
    </row>
    <row r="76" ht="15.75" customHeight="1">
      <c r="A76" s="2">
        <f>course_requisites!A:A</f>
        <v>46</v>
      </c>
      <c r="B76" s="2" t="str">
        <f>course_requisites!B:B</f>
        <v>M220</v>
      </c>
      <c r="C76" s="11" t="str">
        <f>course_requisites!C:C</f>
        <v>M200</v>
      </c>
      <c r="D76" s="10">
        <f>VLOOKUP(B76,courses_program1!A:C,2,0)</f>
        <v>0</v>
      </c>
      <c r="E76" s="10">
        <f>VLOOKUP(B76,courses_program1!A:C,3,0)</f>
        <v>12</v>
      </c>
      <c r="F76" s="10">
        <f>VLOOKUP(C76,courses_program1!A:C,2,0)</f>
        <v>-1.4</v>
      </c>
      <c r="G76" s="10">
        <f>VLOOKUP(C76,courses_program1!A:C,3,0)</f>
        <v>9</v>
      </c>
      <c r="H76" s="2">
        <f>course_requisites!D:D</f>
        <v>1</v>
      </c>
      <c r="I76" s="2" t="str">
        <f t="shared" si="1"/>
        <v>M220M200</v>
      </c>
    </row>
    <row r="77" ht="15.75" customHeight="1">
      <c r="A77" s="2" t="str">
        <f>course_requisites!A:A</f>
        <v/>
      </c>
      <c r="H77" s="2" t="str">
        <f>course_requisites!D:D</f>
        <v/>
      </c>
      <c r="I77" s="2" t="str">
        <f t="shared" si="1"/>
        <v/>
      </c>
    </row>
    <row r="78" ht="15.75" customHeight="1">
      <c r="A78" s="2" t="str">
        <f>course_requisites!A:A</f>
        <v/>
      </c>
      <c r="H78" s="2" t="str">
        <f>course_requisites!D:D</f>
        <v/>
      </c>
      <c r="I78" s="2" t="str">
        <f t="shared" si="1"/>
        <v/>
      </c>
    </row>
    <row r="79" ht="15.75" customHeight="1">
      <c r="A79" s="2" t="str">
        <f>course_requisites!A:A</f>
        <v/>
      </c>
      <c r="H79" s="2" t="str">
        <f>course_requisites!D:D</f>
        <v/>
      </c>
      <c r="I79" s="2" t="str">
        <f t="shared" si="1"/>
        <v/>
      </c>
    </row>
    <row r="80" ht="15.75" customHeight="1">
      <c r="A80" s="2" t="str">
        <f>course_requisites!A:A</f>
        <v/>
      </c>
      <c r="H80" s="2" t="str">
        <f>course_requisites!D:D</f>
        <v/>
      </c>
    </row>
    <row r="81" ht="15.75" customHeight="1">
      <c r="A81" s="2" t="str">
        <f>course_requisites!A:A</f>
        <v/>
      </c>
      <c r="H81" s="2" t="str">
        <f>course_requisites!D:D</f>
        <v/>
      </c>
    </row>
    <row r="82" ht="15.75" customHeight="1">
      <c r="A82" s="2" t="str">
        <f>course_requisites!A:A</f>
        <v/>
      </c>
      <c r="H82" s="2" t="str">
        <f>course_requisites!D:D</f>
        <v/>
      </c>
    </row>
    <row r="83" ht="15.75" customHeight="1">
      <c r="A83" s="2" t="str">
        <f>course_requisites!A:A</f>
        <v/>
      </c>
      <c r="H83" s="2" t="str">
        <f>course_requisites!D:D</f>
        <v/>
      </c>
    </row>
    <row r="84" ht="15.75" customHeight="1">
      <c r="A84" s="2" t="str">
        <f>course_requisites!A:A</f>
        <v/>
      </c>
      <c r="H84" s="2" t="str">
        <f>course_requisites!D:D</f>
        <v/>
      </c>
    </row>
    <row r="85" ht="15.75" customHeight="1">
      <c r="H85" s="2" t="str">
        <f>course_requisites!D:D</f>
        <v/>
      </c>
    </row>
    <row r="86" ht="15.75" customHeight="1">
      <c r="H86" s="2" t="str">
        <f>course_requisites!D:D</f>
        <v/>
      </c>
    </row>
    <row r="87" ht="15.75" customHeight="1">
      <c r="H87" s="2" t="str">
        <f>course_requisites!D:D</f>
        <v/>
      </c>
    </row>
    <row r="88" ht="15.75" customHeight="1">
      <c r="H88" s="2" t="str">
        <f>course_requisites!D:D</f>
        <v/>
      </c>
    </row>
    <row r="89" ht="15.75" customHeight="1">
      <c r="H89" s="2" t="str">
        <f>course_requisites!D:D</f>
        <v/>
      </c>
    </row>
    <row r="90" ht="15.75" customHeight="1">
      <c r="H90" s="2" t="str">
        <f>course_requisites!D:D</f>
        <v/>
      </c>
    </row>
    <row r="91" ht="15.75" customHeight="1">
      <c r="H91" s="2" t="str">
        <f>course_requisites!D:D</f>
        <v/>
      </c>
    </row>
    <row r="92" ht="15.75" customHeight="1">
      <c r="H92" s="2" t="str">
        <f>course_requisites!D:D</f>
        <v/>
      </c>
    </row>
    <row r="93" ht="15.75" customHeight="1">
      <c r="H93" s="2" t="str">
        <f>course_requisites!D:D</f>
        <v/>
      </c>
    </row>
    <row r="94" ht="15.75" customHeight="1">
      <c r="H94" s="2" t="str">
        <f>course_requisites!D:D</f>
        <v/>
      </c>
    </row>
    <row r="95" ht="15.75" customHeight="1">
      <c r="H95" s="2" t="str">
        <f>course_requisites!D:D</f>
        <v/>
      </c>
    </row>
    <row r="96" ht="15.75" customHeight="1">
      <c r="H96" s="2" t="str">
        <f>course_requisites!D:D</f>
        <v/>
      </c>
    </row>
    <row r="97" ht="15.75" customHeight="1">
      <c r="H97" s="2" t="str">
        <f>course_requisites!D:D</f>
        <v/>
      </c>
    </row>
    <row r="98" ht="15.75" customHeight="1">
      <c r="H98" s="2" t="str">
        <f>course_requisites!D:D</f>
        <v/>
      </c>
    </row>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